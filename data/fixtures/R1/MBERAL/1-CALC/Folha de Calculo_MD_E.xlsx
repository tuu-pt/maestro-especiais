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https://tuu.sharepoint.com/sites/24932024_MBERAL_ReabMoradiaRuaBernardoAlbuquerque/Documentos Partilhados/1_COORD/3_ESP/2-PE/TUUINTERNO/3-ELE/1-CALC/"/>
    </mc:Choice>
  </mc:AlternateContent>
  <xr:revisionPtr revIDLastSave="1122" documentId="13_ncr:1_{551080FF-635A-48EA-8072-A4D0958244C3}" xr6:coauthVersionLast="47" xr6:coauthVersionMax="47" xr10:uidLastSave="{4935F8CC-8582-4744-9AF4-2700759353F4}"/>
  <bookViews>
    <workbookView xWindow="28680" yWindow="-120" windowWidth="29040" windowHeight="15720" xr2:uid="{50752F63-8189-4685-88A9-BD28BEC24C29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I12" i="1"/>
  <c r="I15" i="1"/>
  <c r="I16" i="1"/>
  <c r="I17" i="1"/>
  <c r="I18" i="1"/>
  <c r="I14" i="1"/>
  <c r="V15" i="1"/>
  <c r="V16" i="1"/>
  <c r="V17" i="1"/>
  <c r="V18" i="1"/>
  <c r="V12" i="1"/>
  <c r="V14" i="1"/>
  <c r="W15" i="1" l="1"/>
  <c r="W16" i="1"/>
  <c r="W18" i="1"/>
  <c r="W17" i="1"/>
  <c r="W14" i="1"/>
  <c r="W12" i="1"/>
</calcChain>
</file>

<file path=xl/sharedStrings.xml><?xml version="1.0" encoding="utf-8"?>
<sst xmlns="http://schemas.openxmlformats.org/spreadsheetml/2006/main" count="99" uniqueCount="57">
  <si>
    <t>QUADRO ELÉTRICO</t>
  </si>
  <si>
    <t>TIPO C</t>
  </si>
  <si>
    <t>Origem</t>
  </si>
  <si>
    <t>Destino</t>
  </si>
  <si>
    <t>Nº de Quadros 
Tipo</t>
  </si>
  <si>
    <r>
      <t>Norma [kVA]
(S=</t>
    </r>
    <r>
      <rPr>
        <b/>
        <sz val="11"/>
        <color theme="1"/>
        <rFont val="Calibri"/>
        <family val="2"/>
      </rPr>
      <t>√3xUxIB)</t>
    </r>
  </si>
  <si>
    <t>Tensão 
Nominal (U)</t>
  </si>
  <si>
    <t>Socorro [kVA]</t>
  </si>
  <si>
    <t>Segurança [kVA]</t>
  </si>
  <si>
    <t>TOTAL INSTALADO</t>
  </si>
  <si>
    <r>
      <t>I</t>
    </r>
    <r>
      <rPr>
        <b/>
        <sz val="11"/>
        <color theme="1"/>
        <rFont val="Calibri"/>
        <family val="2"/>
      </rPr>
      <t>∆n
[mA]</t>
    </r>
  </si>
  <si>
    <t>Canalização</t>
  </si>
  <si>
    <t>D</t>
  </si>
  <si>
    <t>PROTECÇÃO</t>
  </si>
  <si>
    <t>CANALIZAÇÃO A INSTALAR</t>
  </si>
  <si>
    <t>CALCULO DE Q.D.T E ICC</t>
  </si>
  <si>
    <t>COMPRIMENTO
[m]</t>
  </si>
  <si>
    <t>Q.D.T Troço
[%]</t>
  </si>
  <si>
    <t>Q.D.T MONTANTE
[%]</t>
  </si>
  <si>
    <t>Q.D.T TOTAL
[%]</t>
  </si>
  <si>
    <r>
      <t>Imped Troço
[</t>
    </r>
    <r>
      <rPr>
        <sz val="11"/>
        <color theme="1"/>
        <rFont val="Calibri"/>
        <family val="2"/>
      </rPr>
      <t>Ω]</t>
    </r>
  </si>
  <si>
    <t>PdC
[kA]</t>
  </si>
  <si>
    <t>CORTE GERAL
JUSANTE [A]</t>
  </si>
  <si>
    <t>TIPO DE INSTALAÇÃO</t>
  </si>
  <si>
    <t>MONOPOLAR (MON)
MULTIPOLAR (MUL)</t>
  </si>
  <si>
    <t>ISOLAMENTO</t>
  </si>
  <si>
    <t>Cu=Cobre
Al=Aluminio</t>
  </si>
  <si>
    <t>Mét Refª RTIEBT</t>
  </si>
  <si>
    <t>Quadro Calc RTIEBT</t>
  </si>
  <si>
    <t>MUL</t>
  </si>
  <si>
    <t>1=MONOFÁSICO 3=TRIFÁSICO</t>
  </si>
  <si>
    <t>TUB</t>
  </si>
  <si>
    <t>XLPE</t>
  </si>
  <si>
    <t>Cu</t>
  </si>
  <si>
    <t>EDIFÍCIO</t>
  </si>
  <si>
    <t>AO AR  ESTEIRA (EST)
ENTERRADO (ENT)
EMBEBIDO (TUB)</t>
  </si>
  <si>
    <t>TIPO
F (Fusível)
D (Disjuntor)</t>
  </si>
  <si>
    <t xml:space="preserve">IB
[A]
</t>
  </si>
  <si>
    <t xml:space="preserve">In
[A]
</t>
  </si>
  <si>
    <t xml:space="preserve">Iz do cabo
[A]
</t>
  </si>
  <si>
    <t xml:space="preserve">I2
[A]
</t>
  </si>
  <si>
    <t xml:space="preserve">1,45 Iz
[A]
</t>
  </si>
  <si>
    <t>ENTRADA DE ENERGIA</t>
  </si>
  <si>
    <t>52-C30</t>
  </si>
  <si>
    <t>Portinhola</t>
  </si>
  <si>
    <t>QE</t>
  </si>
  <si>
    <t>-</t>
  </si>
  <si>
    <t>RV-K 4x16mm²</t>
  </si>
  <si>
    <t>Q.E.G.</t>
  </si>
  <si>
    <t>Q.P.1.1</t>
  </si>
  <si>
    <t>Q.P.1.2</t>
  </si>
  <si>
    <t>Q.P.2.1</t>
  </si>
  <si>
    <t>Q.P.2.2</t>
  </si>
  <si>
    <t>Q.P.3.1</t>
  </si>
  <si>
    <t>B2</t>
  </si>
  <si>
    <t>3x H07V-U 10mm²</t>
  </si>
  <si>
    <t>52-C13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</si>
</sst>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tted">
        <color theme="0" tint="-0.34998626667073579"/>
      </bottom>
      <diagonal/>
    </border>
    <border>
      <left style="thin">
        <color indexed="64"/>
      </left>
      <right/>
      <top/>
      <bottom style="dotted">
        <color theme="0" tint="-0.34998626667073579"/>
      </bottom>
      <diagonal/>
    </border>
    <border>
      <left/>
      <right/>
      <top/>
      <bottom style="dotted">
        <color theme="0" tint="-0.34998626667073579"/>
      </bottom>
      <diagonal/>
    </border>
    <border>
      <left style="thin">
        <color indexed="64"/>
      </left>
      <right style="medium">
        <color indexed="64"/>
      </right>
      <top/>
      <bottom style="dotted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dotted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dotted">
        <color theme="0" tint="-0.34998626667073579"/>
      </bottom>
      <diagonal/>
    </border>
    <border>
      <left/>
      <right style="medium">
        <color indexed="64"/>
      </right>
      <top/>
      <bottom style="dotted">
        <color theme="0" tint="-0.34998626667073579"/>
      </bottom>
      <diagonal/>
    </border>
    <border>
      <left style="thin">
        <color indexed="64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indexed="64"/>
      </left>
      <right/>
      <top style="dotted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 style="dotted">
        <color theme="0" tint="-0.34998626667073579"/>
      </top>
      <bottom style="medium">
        <color indexed="64"/>
      </bottom>
      <diagonal/>
    </border>
    <border>
      <left/>
      <right/>
      <top style="dotted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dashed">
        <color theme="0" tint="-0.34998626667073579"/>
      </bottom>
      <diagonal/>
    </border>
    <border>
      <left style="thin">
        <color indexed="64"/>
      </left>
      <right style="medium">
        <color indexed="64"/>
      </right>
      <top/>
      <bottom style="dashed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dashed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2" borderId="0" xfId="0" applyFill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2" fontId="0" fillId="0" borderId="3" xfId="0" applyNumberFormat="1" applyBorder="1"/>
    <xf numFmtId="2" fontId="0" fillId="2" borderId="3" xfId="0" applyNumberFormat="1" applyFill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2" borderId="12" xfId="0" applyFill="1" applyBorder="1"/>
    <xf numFmtId="0" fontId="0" fillId="2" borderId="4" xfId="0" applyFill="1" applyBorder="1"/>
    <xf numFmtId="0" fontId="1" fillId="2" borderId="3" xfId="0" applyFont="1" applyFill="1" applyBorder="1" applyAlignment="1">
      <alignment horizontal="center" vertical="center" textRotation="90" wrapText="1"/>
    </xf>
    <xf numFmtId="0" fontId="1" fillId="2" borderId="7" xfId="0" applyFont="1" applyFill="1" applyBorder="1" applyAlignment="1">
      <alignment horizontal="center" vertical="center" textRotation="90" wrapText="1"/>
    </xf>
    <xf numFmtId="0" fontId="0" fillId="2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 textRotation="90" wrapText="1"/>
    </xf>
    <xf numFmtId="0" fontId="0" fillId="0" borderId="6" xfId="0" applyBorder="1"/>
    <xf numFmtId="0" fontId="0" fillId="2" borderId="6" xfId="0" applyFill="1" applyBorder="1"/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/>
    </xf>
    <xf numFmtId="0" fontId="0" fillId="0" borderId="5" xfId="0" applyBorder="1"/>
    <xf numFmtId="0" fontId="0" fillId="0" borderId="22" xfId="0" applyBorder="1"/>
    <xf numFmtId="2" fontId="0" fillId="0" borderId="24" xfId="0" applyNumberFormat="1" applyBorder="1"/>
    <xf numFmtId="0" fontId="0" fillId="0" borderId="21" xfId="0" applyBorder="1"/>
    <xf numFmtId="0" fontId="0" fillId="0" borderId="28" xfId="0" applyBorder="1"/>
    <xf numFmtId="164" fontId="0" fillId="0" borderId="30" xfId="0" applyNumberFormat="1" applyBorder="1"/>
    <xf numFmtId="0" fontId="5" fillId="0" borderId="28" xfId="0" applyFont="1" applyBorder="1"/>
    <xf numFmtId="0" fontId="0" fillId="0" borderId="32" xfId="0" applyBorder="1"/>
    <xf numFmtId="2" fontId="0" fillId="0" borderId="32" xfId="0" applyNumberFormat="1" applyBorder="1" applyAlignment="1">
      <alignment horizontal="center"/>
    </xf>
    <xf numFmtId="0" fontId="0" fillId="0" borderId="33" xfId="0" applyBorder="1"/>
    <xf numFmtId="2" fontId="0" fillId="0" borderId="34" xfId="0" applyNumberFormat="1" applyBorder="1"/>
    <xf numFmtId="0" fontId="0" fillId="0" borderId="35" xfId="0" applyBorder="1" applyAlignment="1">
      <alignment horizontal="center"/>
    </xf>
    <xf numFmtId="164" fontId="0" fillId="0" borderId="36" xfId="0" applyNumberFormat="1" applyBorder="1"/>
    <xf numFmtId="0" fontId="0" fillId="0" borderId="36" xfId="0" applyBorder="1"/>
    <xf numFmtId="1" fontId="0" fillId="0" borderId="36" xfId="0" applyNumberFormat="1" applyBorder="1"/>
    <xf numFmtId="0" fontId="0" fillId="0" borderId="37" xfId="0" applyBorder="1"/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0" xfId="0" applyBorder="1"/>
    <xf numFmtId="0" fontId="0" fillId="0" borderId="51" xfId="0" applyBorder="1" applyAlignment="1">
      <alignment horizontal="center"/>
    </xf>
    <xf numFmtId="0" fontId="0" fillId="0" borderId="52" xfId="0" applyBorder="1"/>
    <xf numFmtId="0" fontId="1" fillId="2" borderId="0" xfId="0" applyFont="1" applyFill="1" applyAlignment="1">
      <alignment horizontal="center" vertical="center" textRotation="90" wrapText="1"/>
    </xf>
    <xf numFmtId="0" fontId="5" fillId="0" borderId="31" xfId="0" applyFont="1" applyBorder="1"/>
    <xf numFmtId="0" fontId="5" fillId="0" borderId="32" xfId="0" applyFont="1" applyBorder="1"/>
    <xf numFmtId="2" fontId="0" fillId="0" borderId="22" xfId="0" applyNumberFormat="1" applyBorder="1" applyAlignment="1">
      <alignment horizontal="center"/>
    </xf>
    <xf numFmtId="0" fontId="0" fillId="0" borderId="23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1" fontId="0" fillId="0" borderId="26" xfId="0" applyNumberFormat="1" applyBorder="1"/>
    <xf numFmtId="0" fontId="0" fillId="0" borderId="27" xfId="0" applyBorder="1"/>
    <xf numFmtId="0" fontId="5" fillId="0" borderId="38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6" xfId="0" applyBorder="1"/>
    <xf numFmtId="0" fontId="0" fillId="0" borderId="4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/>
    <xf numFmtId="0" fontId="0" fillId="0" borderId="29" xfId="0" applyBorder="1"/>
    <xf numFmtId="0" fontId="0" fillId="0" borderId="30" xfId="0" applyBorder="1"/>
    <xf numFmtId="0" fontId="5" fillId="0" borderId="41" xfId="0" applyFont="1" applyBorder="1" applyAlignment="1">
      <alignment horizontal="center"/>
    </xf>
    <xf numFmtId="0" fontId="5" fillId="0" borderId="29" xfId="0" applyFont="1" applyBorder="1"/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" fontId="5" fillId="0" borderId="41" xfId="0" applyNumberFormat="1" applyFon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1" fillId="2" borderId="11" xfId="0" applyFont="1" applyFill="1" applyBorder="1" applyAlignment="1">
      <alignment horizontal="center" vertical="center" textRotation="90" wrapText="1"/>
    </xf>
    <xf numFmtId="0" fontId="1" fillId="2" borderId="12" xfId="0" applyFont="1" applyFill="1" applyBorder="1" applyAlignment="1">
      <alignment horizontal="center" vertical="center" textRotation="90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textRotation="90" wrapText="1"/>
    </xf>
    <xf numFmtId="0" fontId="1" fillId="2" borderId="6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textRotation="90" wrapText="1"/>
    </xf>
    <xf numFmtId="0" fontId="0" fillId="2" borderId="12" xfId="0" applyFill="1" applyBorder="1" applyAlignment="1">
      <alignment horizontal="center" vertical="center" textRotation="90" wrapText="1"/>
    </xf>
    <xf numFmtId="0" fontId="0" fillId="2" borderId="13" xfId="0" applyFill="1" applyBorder="1" applyAlignment="1">
      <alignment horizontal="center" vertical="center" textRotation="90" wrapText="1"/>
    </xf>
    <xf numFmtId="0" fontId="0" fillId="2" borderId="4" xfId="0" applyFill="1" applyBorder="1" applyAlignment="1">
      <alignment horizontal="center" vertical="center" textRotation="90" wrapText="1"/>
    </xf>
    <xf numFmtId="0" fontId="0" fillId="2" borderId="18" xfId="0" applyFill="1" applyBorder="1" applyAlignment="1">
      <alignment horizontal="center" vertical="center" textRotation="90" wrapText="1"/>
    </xf>
    <xf numFmtId="0" fontId="0" fillId="2" borderId="6" xfId="0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6CBC-0AB6-4FBA-AFB8-7AE167BDC570}">
  <sheetPr codeName="Folha1">
    <pageSetUpPr fitToPage="1"/>
  </sheetPr>
  <dimension ref="B6:AG21"/>
  <sheetViews>
    <sheetView tabSelected="1" view="pageBreakPreview" topLeftCell="A7" zoomScale="85" zoomScaleNormal="100" zoomScaleSheetLayoutView="85" workbookViewId="0">
      <pane xSplit="1" ySplit="3" topLeftCell="B10" activePane="bottomRight" state="frozen"/>
      <selection pane="topRight" activeCell="B7" sqref="B7"/>
      <selection pane="bottomLeft" activeCell="A10" sqref="A10"/>
      <selection pane="bottomRight" activeCell="AI21" sqref="AI21"/>
    </sheetView>
  </sheetViews>
  <sheetFormatPr defaultRowHeight="14.4" x14ac:dyDescent="0.3"/>
  <cols>
    <col min="1" max="1" width="1.88671875" customWidth="1"/>
    <col min="2" max="2" width="20.0000002" customWidth="1"/>
    <col min="3" max="3" width="19.33203125" customWidth="1"/>
    <col min="4" max="5" width="6.44140625" customWidth="1"/>
    <col min="6" max="6" width="7.109375" customWidth="1"/>
    <col min="7" max="8" width="3.5546875" hidden="1" customWidth="1"/>
    <col min="11" max="11" width="8" bestFit="1" customWidth="1"/>
    <col min="13" max="13" width="21" hidden="1" customWidth="1"/>
    <col min="17" max="17" width="26.33203125" customWidth="1"/>
    <col min="18" max="18" width="1.6640625" customWidth="1"/>
    <col min="19" max="19" width="5" customWidth="1"/>
    <col min="20" max="20" width="4.88671875" customWidth="1"/>
    <col min="21" max="21" width="5.33203125" customWidth="1"/>
    <col min="22" max="22" width="5.44140625" customWidth="1"/>
    <col min="23" max="23" width="5.5546875" customWidth="1"/>
    <col min="24" max="24" width="5" customWidth="1"/>
    <col min="25" max="25" width="6.6640625" hidden="1" customWidth="1"/>
    <col min="26" max="26" width="1.44140625" customWidth="1"/>
    <col min="27" max="27" width="5.5546875" customWidth="1"/>
    <col min="28" max="28" width="9.6640625" customWidth="1"/>
    <col min="29" max="29" width="5.44140625" customWidth="1"/>
    <col min="30" max="30" width="6" customWidth="1"/>
    <col min="31" max="31" width="5.33203125" customWidth="1"/>
    <col min="32" max="32" width="6.109375" customWidth="1"/>
    <col min="33" max="33" width="7.33203125" customWidth="1"/>
  </cols>
  <sheetData>
    <row r="6" spans="2:33" ht="15" thickBot="1" x14ac:dyDescent="0.35"/>
    <row r="7" spans="2:33" x14ac:dyDescent="0.3">
      <c r="B7" s="83" t="s">
        <v>0</v>
      </c>
      <c r="C7" s="84"/>
      <c r="D7" s="84"/>
      <c r="E7" s="84"/>
      <c r="F7" s="84"/>
      <c r="G7" s="84"/>
      <c r="H7" s="84"/>
      <c r="I7" s="85"/>
      <c r="J7" s="83" t="s">
        <v>13</v>
      </c>
      <c r="K7" s="84"/>
      <c r="L7" s="84"/>
      <c r="M7" s="84"/>
      <c r="N7" s="84"/>
      <c r="O7" s="84"/>
      <c r="P7" s="85"/>
      <c r="Q7" s="27" t="s">
        <v>14</v>
      </c>
      <c r="S7" s="83" t="s">
        <v>15</v>
      </c>
      <c r="T7" s="84"/>
      <c r="U7" s="84"/>
      <c r="V7" s="84"/>
      <c r="W7" s="84"/>
      <c r="X7" s="84"/>
      <c r="Y7" s="85"/>
      <c r="AA7" s="83" t="s">
        <v>23</v>
      </c>
      <c r="AB7" s="84"/>
      <c r="AC7" s="84"/>
      <c r="AD7" s="84"/>
      <c r="AE7" s="84"/>
      <c r="AF7" s="84"/>
      <c r="AG7" s="85"/>
    </row>
    <row r="8" spans="2:33" x14ac:dyDescent="0.3">
      <c r="B8" s="86" t="s">
        <v>2</v>
      </c>
      <c r="C8" s="88" t="s">
        <v>3</v>
      </c>
      <c r="D8" s="90" t="s">
        <v>1</v>
      </c>
      <c r="E8" s="91"/>
      <c r="F8" s="91"/>
      <c r="G8" s="91"/>
      <c r="H8" s="91"/>
      <c r="I8" s="92"/>
      <c r="J8" s="95" t="s">
        <v>36</v>
      </c>
      <c r="K8" s="97" t="s">
        <v>37</v>
      </c>
      <c r="L8" s="97" t="s">
        <v>38</v>
      </c>
      <c r="M8" s="93" t="s">
        <v>10</v>
      </c>
      <c r="N8" s="97" t="s">
        <v>39</v>
      </c>
      <c r="O8" s="97" t="s">
        <v>40</v>
      </c>
      <c r="P8" s="99" t="s">
        <v>41</v>
      </c>
      <c r="Q8" s="104" t="s">
        <v>11</v>
      </c>
      <c r="S8" s="95" t="s">
        <v>16</v>
      </c>
      <c r="T8" s="93" t="s">
        <v>17</v>
      </c>
      <c r="U8" s="93" t="s">
        <v>18</v>
      </c>
      <c r="V8" s="93" t="s">
        <v>19</v>
      </c>
      <c r="W8" s="93" t="s">
        <v>20</v>
      </c>
      <c r="X8" s="101" t="s">
        <v>21</v>
      </c>
      <c r="Y8" s="103" t="s">
        <v>22</v>
      </c>
      <c r="AA8" s="106" t="s">
        <v>24</v>
      </c>
      <c r="AB8" s="108" t="s">
        <v>35</v>
      </c>
      <c r="AC8" s="108" t="s">
        <v>30</v>
      </c>
      <c r="AD8" s="108" t="s">
        <v>25</v>
      </c>
      <c r="AE8" s="108" t="s">
        <v>26</v>
      </c>
      <c r="AF8" s="108" t="s">
        <v>27</v>
      </c>
      <c r="AG8" s="110" t="s">
        <v>28</v>
      </c>
    </row>
    <row r="9" spans="2:33" ht="91.95" customHeight="1" x14ac:dyDescent="0.3">
      <c r="B9" s="87"/>
      <c r="C9" s="89"/>
      <c r="D9" s="14" t="s">
        <v>4</v>
      </c>
      <c r="E9" s="15" t="s">
        <v>5</v>
      </c>
      <c r="F9" s="15" t="s">
        <v>6</v>
      </c>
      <c r="G9" s="15" t="s">
        <v>7</v>
      </c>
      <c r="H9" s="51" t="s">
        <v>8</v>
      </c>
      <c r="I9" s="20" t="s">
        <v>9</v>
      </c>
      <c r="J9" s="96"/>
      <c r="K9" s="98"/>
      <c r="L9" s="98"/>
      <c r="M9" s="94"/>
      <c r="N9" s="98"/>
      <c r="O9" s="98"/>
      <c r="P9" s="100"/>
      <c r="Q9" s="105"/>
      <c r="R9" s="28"/>
      <c r="S9" s="96"/>
      <c r="T9" s="94"/>
      <c r="U9" s="94"/>
      <c r="V9" s="94"/>
      <c r="W9" s="94"/>
      <c r="X9" s="102"/>
      <c r="Y9" s="103"/>
      <c r="AA9" s="107"/>
      <c r="AB9" s="109"/>
      <c r="AC9" s="109"/>
      <c r="AD9" s="109"/>
      <c r="AE9" s="109"/>
      <c r="AF9" s="109"/>
      <c r="AG9" s="111"/>
    </row>
    <row r="10" spans="2:33" x14ac:dyDescent="0.3">
      <c r="B10" s="1"/>
      <c r="C10" s="6"/>
      <c r="D10" s="6"/>
      <c r="E10" s="6"/>
      <c r="F10" s="6"/>
      <c r="G10" s="6"/>
      <c r="I10" s="21"/>
      <c r="J10" s="10"/>
      <c r="K10" s="3"/>
      <c r="L10" s="3"/>
      <c r="M10" s="3"/>
      <c r="N10" s="3"/>
      <c r="O10" s="3"/>
      <c r="P10" s="2"/>
      <c r="Q10" s="2"/>
      <c r="R10" s="28"/>
      <c r="S10" s="10"/>
      <c r="T10" s="3"/>
      <c r="U10" s="3"/>
      <c r="V10" s="3"/>
      <c r="W10" s="3"/>
      <c r="X10" s="21"/>
      <c r="Y10" s="2"/>
      <c r="AA10" s="10"/>
      <c r="AB10" s="3"/>
      <c r="AC10" s="3"/>
      <c r="AD10" s="3"/>
      <c r="AE10" s="3"/>
      <c r="AF10" s="3"/>
      <c r="AG10" s="2"/>
    </row>
    <row r="11" spans="2:33" x14ac:dyDescent="0.3">
      <c r="B11" s="25" t="s">
        <v>42</v>
      </c>
      <c r="C11" s="7"/>
      <c r="D11" s="7"/>
      <c r="E11" s="7"/>
      <c r="F11" s="7"/>
      <c r="G11" s="7"/>
      <c r="H11" s="4"/>
      <c r="I11" s="22"/>
      <c r="J11" s="12"/>
      <c r="K11" s="13"/>
      <c r="L11" s="13"/>
      <c r="M11" s="13"/>
      <c r="N11" s="13"/>
      <c r="O11" s="13"/>
      <c r="P11" s="5"/>
      <c r="Q11" s="5"/>
      <c r="S11" s="16"/>
      <c r="T11" s="13"/>
      <c r="U11" s="13"/>
      <c r="V11" s="13"/>
      <c r="W11" s="13"/>
      <c r="X11" s="22"/>
      <c r="Y11" s="5"/>
      <c r="AA11" s="16"/>
      <c r="AB11" s="13"/>
      <c r="AC11" s="13"/>
      <c r="AD11" s="13"/>
      <c r="AE11" s="13"/>
      <c r="AF11" s="13"/>
      <c r="AG11" s="5"/>
    </row>
    <row r="12" spans="2:33" x14ac:dyDescent="0.3">
      <c r="B12" s="1" t="s">
        <v>44</v>
      </c>
      <c r="C12" s="6" t="s">
        <v>45</v>
      </c>
      <c r="D12" s="6">
        <v>1</v>
      </c>
      <c r="E12" s="8">
        <v>34.5</v>
      </c>
      <c r="F12" s="8">
        <v>400</v>
      </c>
      <c r="G12" s="6"/>
      <c r="I12" s="30">
        <f>E12+SUM(G12:H12)</f>
        <v>34.5</v>
      </c>
      <c r="J12" s="11" t="s">
        <v>12</v>
      </c>
      <c r="K12" s="33">
        <f>E12*1000/(SQRT(3)*F12)</f>
        <v>49.796460717605221</v>
      </c>
      <c r="L12" s="3">
        <v>50</v>
      </c>
      <c r="M12" s="3"/>
      <c r="N12" s="3">
        <v>90.4</v>
      </c>
      <c r="O12" s="3">
        <v>72</v>
      </c>
      <c r="P12" s="2">
        <v>131.1</v>
      </c>
      <c r="Q12" s="19" t="s">
        <v>47</v>
      </c>
      <c r="S12" s="11">
        <v>16</v>
      </c>
      <c r="T12" s="72">
        <v>0.5</v>
      </c>
      <c r="U12" s="72" t="s">
        <v>46</v>
      </c>
      <c r="V12" s="72">
        <f>T12</f>
        <v>0.5</v>
      </c>
      <c r="W12" s="73">
        <f>(0.0225*S12)/16</f>
        <v>2.2499999999999999E-2</v>
      </c>
      <c r="X12" s="76">
        <v>10</v>
      </c>
      <c r="Y12" s="77"/>
      <c r="Z12" s="78"/>
      <c r="AA12" s="79" t="s">
        <v>29</v>
      </c>
      <c r="AB12" s="74" t="s">
        <v>31</v>
      </c>
      <c r="AC12" s="75">
        <v>3</v>
      </c>
      <c r="AD12" s="75" t="s">
        <v>32</v>
      </c>
      <c r="AE12" s="75" t="s">
        <v>33</v>
      </c>
      <c r="AF12" s="75" t="s">
        <v>12</v>
      </c>
      <c r="AG12" s="80" t="s">
        <v>43</v>
      </c>
    </row>
    <row r="13" spans="2:33" s="4" customFormat="1" x14ac:dyDescent="0.3">
      <c r="B13" s="26" t="s">
        <v>34</v>
      </c>
      <c r="C13" s="7"/>
      <c r="D13" s="7"/>
      <c r="E13" s="9"/>
      <c r="F13" s="9"/>
      <c r="G13" s="7"/>
      <c r="I13" s="24"/>
      <c r="J13" s="12"/>
      <c r="K13" s="13"/>
      <c r="L13" s="13"/>
      <c r="M13" s="13"/>
      <c r="N13" s="13"/>
      <c r="O13" s="13"/>
      <c r="P13" s="5"/>
      <c r="Q13" s="18"/>
      <c r="R13"/>
      <c r="S13" s="16"/>
      <c r="T13" s="13"/>
      <c r="U13" s="13"/>
      <c r="V13" s="13"/>
      <c r="W13" s="13"/>
      <c r="X13" s="22"/>
      <c r="Y13" s="5"/>
      <c r="Z13"/>
      <c r="AA13" s="12"/>
      <c r="AB13" s="17"/>
      <c r="AC13" s="17"/>
      <c r="AD13" s="17"/>
      <c r="AE13" s="17"/>
      <c r="AF13" s="17"/>
      <c r="AG13" s="5"/>
    </row>
    <row r="14" spans="2:33" ht="14.4" customHeight="1" x14ac:dyDescent="0.3">
      <c r="B14" s="31" t="s">
        <v>48</v>
      </c>
      <c r="C14" s="29" t="s">
        <v>49</v>
      </c>
      <c r="D14" s="29">
        <v>1</v>
      </c>
      <c r="E14" s="54">
        <v>6.9</v>
      </c>
      <c r="F14" s="54">
        <v>230</v>
      </c>
      <c r="G14" s="29"/>
      <c r="H14" s="55"/>
      <c r="I14" s="30">
        <f>E14+SUM(G14:H14)</f>
        <v>6.9</v>
      </c>
      <c r="J14" s="56" t="s">
        <v>12</v>
      </c>
      <c r="K14" s="33">
        <v>29.9</v>
      </c>
      <c r="L14" s="57">
        <v>32</v>
      </c>
      <c r="M14" s="57"/>
      <c r="N14" s="57">
        <v>57</v>
      </c>
      <c r="O14" s="58">
        <v>46</v>
      </c>
      <c r="P14" s="59">
        <v>82.7</v>
      </c>
      <c r="Q14" s="19" t="s">
        <v>55</v>
      </c>
      <c r="S14" s="60">
        <v>10</v>
      </c>
      <c r="T14" s="61">
        <v>1</v>
      </c>
      <c r="U14" s="61"/>
      <c r="V14" s="62">
        <f>T14+U14</f>
        <v>1</v>
      </c>
      <c r="W14" s="61">
        <f>(0.0225*S14)/10</f>
        <v>2.2499999999999999E-2</v>
      </c>
      <c r="X14" s="63">
        <v>6</v>
      </c>
      <c r="Y14" s="2"/>
      <c r="AA14" s="64" t="s">
        <v>29</v>
      </c>
      <c r="AB14" s="65" t="s">
        <v>31</v>
      </c>
      <c r="AC14" s="66">
        <v>1</v>
      </c>
      <c r="AD14" s="66" t="s">
        <v>32</v>
      </c>
      <c r="AE14" s="66" t="s">
        <v>33</v>
      </c>
      <c r="AF14" s="66" t="s">
        <v>54</v>
      </c>
      <c r="AG14" s="67" t="s">
        <v>56</v>
      </c>
    </row>
    <row r="15" spans="2:33" x14ac:dyDescent="0.3">
      <c r="B15" s="31" t="s">
        <v>48</v>
      </c>
      <c r="C15" s="29" t="s">
        <v>50</v>
      </c>
      <c r="D15" s="32">
        <v>1</v>
      </c>
      <c r="E15" s="54">
        <v>6.9</v>
      </c>
      <c r="F15" s="54">
        <v>230</v>
      </c>
      <c r="G15" s="32"/>
      <c r="H15" s="68"/>
      <c r="I15" s="30">
        <f t="shared" ref="I15:I18" si="0">E15+SUM(G15:H15)</f>
        <v>6.9</v>
      </c>
      <c r="J15" s="56" t="s">
        <v>12</v>
      </c>
      <c r="K15" s="33">
        <v>29.9</v>
      </c>
      <c r="L15" s="69">
        <v>32</v>
      </c>
      <c r="M15" s="69"/>
      <c r="N15" s="69">
        <v>57</v>
      </c>
      <c r="O15" s="58">
        <v>46</v>
      </c>
      <c r="P15" s="59">
        <v>82.7</v>
      </c>
      <c r="Q15" s="19" t="s">
        <v>55</v>
      </c>
      <c r="S15" s="70">
        <v>13</v>
      </c>
      <c r="T15" s="62">
        <v>0.9</v>
      </c>
      <c r="U15" s="62"/>
      <c r="V15" s="62">
        <f t="shared" ref="V15:V18" si="1">T15+U15</f>
        <v>0.9</v>
      </c>
      <c r="W15" s="61">
        <f>(0.0225*S15)/10</f>
        <v>2.9249999999999998E-2</v>
      </c>
      <c r="X15" s="63">
        <v>6</v>
      </c>
      <c r="Y15" s="2"/>
      <c r="AA15" s="64" t="s">
        <v>29</v>
      </c>
      <c r="AB15" s="65" t="s">
        <v>31</v>
      </c>
      <c r="AC15" s="65">
        <v>1</v>
      </c>
      <c r="AD15" s="65" t="s">
        <v>32</v>
      </c>
      <c r="AE15" s="65" t="s">
        <v>33</v>
      </c>
      <c r="AF15" s="66" t="s">
        <v>54</v>
      </c>
      <c r="AG15" s="67" t="s">
        <v>56</v>
      </c>
    </row>
    <row r="16" spans="2:33" x14ac:dyDescent="0.3">
      <c r="B16" s="31" t="s">
        <v>48</v>
      </c>
      <c r="C16" s="29" t="s">
        <v>51</v>
      </c>
      <c r="D16" s="34">
        <v>1</v>
      </c>
      <c r="E16" s="54">
        <v>6.9</v>
      </c>
      <c r="F16" s="54">
        <v>230</v>
      </c>
      <c r="G16" s="34"/>
      <c r="H16" s="71"/>
      <c r="I16" s="30">
        <f t="shared" si="0"/>
        <v>6.9</v>
      </c>
      <c r="J16" s="56" t="s">
        <v>12</v>
      </c>
      <c r="K16" s="33">
        <v>29.9</v>
      </c>
      <c r="L16" s="69">
        <v>32</v>
      </c>
      <c r="M16" s="69"/>
      <c r="N16" s="69">
        <v>57</v>
      </c>
      <c r="O16" s="58">
        <v>46</v>
      </c>
      <c r="P16" s="59">
        <v>82.7</v>
      </c>
      <c r="Q16" s="19" t="s">
        <v>55</v>
      </c>
      <c r="S16" s="81">
        <v>16</v>
      </c>
      <c r="T16" s="62">
        <v>0.9</v>
      </c>
      <c r="U16" s="62"/>
      <c r="V16" s="62">
        <f t="shared" si="1"/>
        <v>0.9</v>
      </c>
      <c r="W16" s="61">
        <f t="shared" ref="W16:W18" si="2">(0.0225*S16)/10</f>
        <v>3.5999999999999997E-2</v>
      </c>
      <c r="X16" s="63">
        <v>6</v>
      </c>
      <c r="Y16" s="2"/>
      <c r="AA16" s="64" t="s">
        <v>29</v>
      </c>
      <c r="AB16" s="65" t="s">
        <v>31</v>
      </c>
      <c r="AC16" s="65">
        <v>1</v>
      </c>
      <c r="AD16" s="65" t="s">
        <v>32</v>
      </c>
      <c r="AE16" s="65" t="s">
        <v>33</v>
      </c>
      <c r="AF16" s="66" t="s">
        <v>54</v>
      </c>
      <c r="AG16" s="67" t="s">
        <v>56</v>
      </c>
    </row>
    <row r="17" spans="2:33" x14ac:dyDescent="0.3">
      <c r="B17" s="31" t="s">
        <v>48</v>
      </c>
      <c r="C17" s="29" t="s">
        <v>52</v>
      </c>
      <c r="D17" s="32">
        <v>1</v>
      </c>
      <c r="E17" s="54">
        <v>6.9</v>
      </c>
      <c r="F17" s="54">
        <v>230</v>
      </c>
      <c r="G17" s="32"/>
      <c r="H17" s="68"/>
      <c r="I17" s="30">
        <f t="shared" si="0"/>
        <v>6.9</v>
      </c>
      <c r="J17" s="56" t="s">
        <v>12</v>
      </c>
      <c r="K17" s="33">
        <v>29.9</v>
      </c>
      <c r="L17" s="69">
        <v>32</v>
      </c>
      <c r="M17" s="69"/>
      <c r="N17" s="69">
        <v>57</v>
      </c>
      <c r="O17" s="58">
        <v>46</v>
      </c>
      <c r="P17" s="59">
        <v>82.7</v>
      </c>
      <c r="Q17" s="19" t="s">
        <v>55</v>
      </c>
      <c r="S17" s="82">
        <v>20</v>
      </c>
      <c r="T17" s="62">
        <v>1.2</v>
      </c>
      <c r="U17" s="62"/>
      <c r="V17" s="62">
        <f t="shared" si="1"/>
        <v>1.2</v>
      </c>
      <c r="W17" s="61">
        <f t="shared" si="2"/>
        <v>4.4999999999999998E-2</v>
      </c>
      <c r="X17" s="63">
        <v>6</v>
      </c>
      <c r="Y17" s="2"/>
      <c r="AA17" s="64" t="s">
        <v>29</v>
      </c>
      <c r="AB17" s="65" t="s">
        <v>31</v>
      </c>
      <c r="AC17" s="65">
        <v>1</v>
      </c>
      <c r="AD17" s="65" t="s">
        <v>32</v>
      </c>
      <c r="AE17" s="65" t="s">
        <v>33</v>
      </c>
      <c r="AF17" s="66" t="s">
        <v>54</v>
      </c>
      <c r="AG17" s="67" t="s">
        <v>56</v>
      </c>
    </row>
    <row r="18" spans="2:33" x14ac:dyDescent="0.3">
      <c r="B18" s="31" t="s">
        <v>48</v>
      </c>
      <c r="C18" s="29" t="s">
        <v>53</v>
      </c>
      <c r="D18" s="32">
        <v>1</v>
      </c>
      <c r="E18" s="54">
        <v>6.9</v>
      </c>
      <c r="F18" s="54">
        <v>230</v>
      </c>
      <c r="G18" s="32"/>
      <c r="H18" s="68"/>
      <c r="I18" s="30">
        <f t="shared" si="0"/>
        <v>6.9</v>
      </c>
      <c r="J18" s="56" t="s">
        <v>12</v>
      </c>
      <c r="K18" s="33">
        <v>29.9</v>
      </c>
      <c r="L18" s="69">
        <v>32</v>
      </c>
      <c r="M18" s="69"/>
      <c r="N18" s="69">
        <v>57</v>
      </c>
      <c r="O18" s="58">
        <v>46</v>
      </c>
      <c r="P18" s="59">
        <v>82.7</v>
      </c>
      <c r="Q18" s="19" t="s">
        <v>55</v>
      </c>
      <c r="S18" s="82">
        <v>23</v>
      </c>
      <c r="T18" s="62">
        <v>1.3</v>
      </c>
      <c r="U18" s="62"/>
      <c r="V18" s="62">
        <f t="shared" si="1"/>
        <v>1.3</v>
      </c>
      <c r="W18" s="61">
        <f t="shared" si="2"/>
        <v>5.1749999999999997E-2</v>
      </c>
      <c r="X18" s="63">
        <v>6</v>
      </c>
      <c r="Y18" s="2"/>
      <c r="AA18" s="64" t="s">
        <v>29</v>
      </c>
      <c r="AB18" s="65" t="s">
        <v>31</v>
      </c>
      <c r="AC18" s="65">
        <v>1</v>
      </c>
      <c r="AD18" s="65" t="s">
        <v>32</v>
      </c>
      <c r="AE18" s="65" t="s">
        <v>33</v>
      </c>
      <c r="AF18" s="66" t="s">
        <v>54</v>
      </c>
      <c r="AG18" s="67" t="s">
        <v>56</v>
      </c>
    </row>
    <row r="19" spans="2:33" ht="15" thickBot="1" x14ac:dyDescent="0.35">
      <c r="B19" s="52"/>
      <c r="C19" s="53"/>
      <c r="D19" s="35"/>
      <c r="E19" s="36"/>
      <c r="F19" s="36"/>
      <c r="G19" s="35"/>
      <c r="H19" s="37"/>
      <c r="I19" s="38"/>
      <c r="J19" s="39"/>
      <c r="K19" s="40"/>
      <c r="L19" s="41"/>
      <c r="M19" s="41"/>
      <c r="N19" s="41"/>
      <c r="O19" s="42"/>
      <c r="P19" s="43"/>
      <c r="Q19" s="44"/>
      <c r="S19" s="45"/>
      <c r="T19" s="46"/>
      <c r="U19" s="46"/>
      <c r="V19" s="46"/>
      <c r="W19" s="46"/>
      <c r="X19" s="47"/>
      <c r="Y19" s="2"/>
      <c r="AA19" s="48"/>
      <c r="AB19" s="49"/>
      <c r="AC19" s="49"/>
      <c r="AD19" s="49"/>
      <c r="AE19" s="49"/>
      <c r="AF19" s="49"/>
      <c r="AG19" s="50"/>
    </row>
    <row r="21" spans="2:33" x14ac:dyDescent="0.3">
      <c r="AF21" s="23"/>
    </row>
  </sheetData>
  <mergeCells count="29">
    <mergeCell ref="AA7:AG7"/>
    <mergeCell ref="AA8:AA9"/>
    <mergeCell ref="AB8:AB9"/>
    <mergeCell ref="AC8:AC9"/>
    <mergeCell ref="AD8:AD9"/>
    <mergeCell ref="AE8:AE9"/>
    <mergeCell ref="AF8:AF9"/>
    <mergeCell ref="AG8:AG9"/>
    <mergeCell ref="W8:W9"/>
    <mergeCell ref="X8:X9"/>
    <mergeCell ref="Y8:Y9"/>
    <mergeCell ref="S7:Y7"/>
    <mergeCell ref="Q8:Q9"/>
    <mergeCell ref="S8:S9"/>
    <mergeCell ref="T8:T9"/>
    <mergeCell ref="U8:U9"/>
    <mergeCell ref="B7:I7"/>
    <mergeCell ref="B8:B9"/>
    <mergeCell ref="C8:C9"/>
    <mergeCell ref="D8:I8"/>
    <mergeCell ref="V8:V9"/>
    <mergeCell ref="J7:P7"/>
    <mergeCell ref="J8:J9"/>
    <mergeCell ref="K8:K9"/>
    <mergeCell ref="L8:L9"/>
    <mergeCell ref="M8:M9"/>
    <mergeCell ref="N8:N9"/>
    <mergeCell ref="O8:O9"/>
    <mergeCell ref="P8:P9"/>
  </mergeCells>
  <phoneticPr fontId="4" type="noConversion"/>
  <printOptions horizontalCentered="1" verticalCentered="1"/>
  <pageMargins left="0.51181102362204722" right="0.51181102362204722" top="0.55118110236220474" bottom="0.55118110236220474" header="0.11811023622047245" footer="0.11811023622047245"/>
  <pageSetup paperSize="9" scale="5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9640ff-0f1f-4903-b49a-f44fdf6e38ae" xsi:nil="true"/>
    <lcf76f155ced4ddcb4097134ff3c332f xmlns="4347ee74-187d-430e-acc9-85262c7fc17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BFBC6D6D4B104DB1D398E59C488B99" ma:contentTypeVersion="11" ma:contentTypeDescription="Criar um novo documento." ma:contentTypeScope="" ma:versionID="65a0aed92360d3a1b481206908fc5d74">
  <xsd:schema xmlns:xsd="http://www.w3.org/2001/XMLSchema" xmlns:xs="http://www.w3.org/2001/XMLSchema" xmlns:p="http://schemas.microsoft.com/office/2006/metadata/properties" xmlns:ns2="4347ee74-187d-430e-acc9-85262c7fc174" xmlns:ns3="0b9640ff-0f1f-4903-b49a-f44fdf6e38ae" targetNamespace="http://schemas.microsoft.com/office/2006/metadata/properties" ma:root="true" ma:fieldsID="0ed9fb4149bab6c883121c8d9f13bc20" ns2:_="" ns3:_="">
    <xsd:import namespace="4347ee74-187d-430e-acc9-85262c7fc174"/>
    <xsd:import namespace="0b9640ff-0f1f-4903-b49a-f44fdf6e38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7ee74-187d-430e-acc9-85262c7fc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93f449cc-063f-4890-80cb-d4bc6853fd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40ff-0f1f-4903-b49a-f44fdf6e38a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4ccd394-a227-4d03-907e-6290f55866b6}" ma:internalName="TaxCatchAll" ma:showField="CatchAllData" ma:web="0b9640ff-0f1f-4903-b49a-f44fdf6e38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1045A4-0B70-4579-AC46-E9659F13C6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B7D66C-2BB1-4DAC-BEB3-0DCDC6FE730C}">
  <ds:schemaRefs>
    <ds:schemaRef ds:uri="http://schemas.microsoft.com/office/2006/metadata/properties"/>
    <ds:schemaRef ds:uri="http://schemas.microsoft.com/office/infopath/2007/PartnerControls"/>
    <ds:schemaRef ds:uri="3bb11fd7-8e69-4940-8a09-eb831bd7637a"/>
    <ds:schemaRef ds:uri="87cf26b9-48b6-4a1f-ba75-ff41f8958c90"/>
    <ds:schemaRef ds:uri="148d3fa8-8237-4337-8aea-a25c6a584a5e"/>
    <ds:schemaRef ds:uri="3cbe5794-cd75-4923-940c-b3fdc803ee09"/>
    <ds:schemaRef ds:uri="6f87dcd4-cf8a-4ffa-9669-63b2c0ce6c81"/>
    <ds:schemaRef ds:uri="1f9d96fb-0fa7-4e76-bbfe-c3d62198cdb2"/>
    <ds:schemaRef ds:uri="0b9640ff-0f1f-4903-b49a-f44fdf6e38ae"/>
    <ds:schemaRef ds:uri="4347ee74-187d-430e-acc9-85262c7fc174"/>
  </ds:schemaRefs>
</ds:datastoreItem>
</file>

<file path=customXml/itemProps3.xml><?xml version="1.0" encoding="utf-8"?>
<ds:datastoreItem xmlns:ds="http://schemas.openxmlformats.org/officeDocument/2006/customXml" ds:itemID="{BF7EF1E0-7707-4D31-9AA0-7CCE1F554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47ee74-187d-430e-acc9-85262c7fc174"/>
    <ds:schemaRef ds:uri="0b9640ff-0f1f-4903-b49a-f44fdf6e38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ELCA SANTOS VARELA TAVARES</dc:creator>
  <cp:keywords/>
  <dc:description/>
  <cp:lastModifiedBy>Emanuel Silva</cp:lastModifiedBy>
  <cp:revision/>
  <cp:lastPrinted>2025-04-02T12:11:11Z</cp:lastPrinted>
  <dcterms:created xsi:type="dcterms:W3CDTF">2024-02-25T11:06:08Z</dcterms:created>
  <dcterms:modified xsi:type="dcterms:W3CDTF">2026-06-15T12:13:54Z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0x0101007EBFBC6D6D4B104DB1D398E59C488B99</vt:lpwstr>
  </property>
  <property fmtid="{D5CDD505-2E9C-101B-9397-08002B2CF9AE}" pid="3" name="MediaServiceImageTags">
    <vt:lpwstr/>
  </property>
</Properties>
</file>