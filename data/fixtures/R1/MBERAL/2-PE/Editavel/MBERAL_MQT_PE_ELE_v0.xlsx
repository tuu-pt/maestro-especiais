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tuu.sharepoint.com/sites/24932024_MBERAL_ReabMoradiaRuaBernardoAlbuquerque/Documentos Partilhados/1_COORD/3_ESP/2-PE/TUUINTERNO/3-ELE/2-PE/Editavel/"/>
    </mc:Choice>
  </mc:AlternateContent>
  <xr:revisionPtr revIDLastSave="938" documentId="13_ncr:1_{845439AC-3270-43D8-9F02-2CCF380B2499}" xr6:coauthVersionLast="47" xr6:coauthVersionMax="47" xr10:uidLastSave="{E1C73364-4D80-450B-AA1A-A1D6DD9B3159}"/>
  <bookViews>
    <workbookView xWindow="28680" yWindow="-120" windowWidth="29040" windowHeight="15720" xr2:uid="{2B57C7B6-1CB3-4B60-AE30-1BF010B4A291}"/>
  </bookViews>
  <sheets>
    <sheet name="MQT" sheetId="1" r:id="rId1"/>
    <sheet name="ESTIMATIVA GLOBAL" sheetId="3" r:id="rId2"/>
  </sheets>
  <definedNames>
    <definedName name="_xlnm._FilterDatabase" localSheetId="1" hidden="1">'ESTIMATIVA GLOBAL'!$B$10:$I$674</definedName>
    <definedName name="_xlnm._FilterDatabase" localSheetId="0" hidden="1">MQT!$B$10:$I$724</definedName>
    <definedName name="_xlnm.Print_Area" localSheetId="1">'ESTIMATIVA GLOBAL'!$B$1:$H$16</definedName>
    <definedName name="_xlnm.Print_Area" localSheetId="0">MQT!$B$1:$H$82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2" i="1" l="1"/>
  <c r="G74" i="1"/>
  <c r="G69" i="1"/>
  <c r="G68" i="1"/>
  <c r="G66" i="1"/>
  <c r="G65" i="1"/>
  <c r="G64" i="1"/>
  <c r="B2" i="3"/>
  <c r="G55" i="1"/>
  <c r="G32" i="1"/>
  <c r="G54" i="1"/>
  <c r="G48" i="1"/>
  <c r="G47" i="1"/>
  <c r="G38" i="1"/>
  <c r="G31" i="1"/>
  <c r="G40" i="1"/>
  <c r="G61" i="1" l="1"/>
  <c r="G60" i="1"/>
  <c r="G59" i="1"/>
  <c r="G58" i="1"/>
  <c r="G57" i="1"/>
  <c r="G28" i="1"/>
  <c r="G53" i="1"/>
  <c r="G52" i="1"/>
  <c r="G76" i="1"/>
  <c r="G75" i="1"/>
  <c r="G72" i="1"/>
  <c r="G14" i="3" l="1"/>
  <c r="H13" i="3" s="1"/>
  <c r="G11" i="3"/>
  <c r="G13" i="3"/>
  <c r="G10" i="3"/>
  <c r="G19" i="1"/>
  <c r="H10" i="3" l="1"/>
  <c r="H16" i="3" s="1"/>
  <c r="G41" i="1"/>
  <c r="G46" i="1"/>
  <c r="G39" i="1" l="1"/>
  <c r="G81" i="1"/>
  <c r="G80" i="1"/>
  <c r="G79" i="1"/>
  <c r="G78" i="1"/>
  <c r="G77" i="1"/>
  <c r="H77" i="1" l="1"/>
  <c r="G30" i="1"/>
  <c r="G29" i="1"/>
  <c r="G27" i="1"/>
  <c r="G45" i="1" l="1"/>
  <c r="G33" i="1"/>
  <c r="G34" i="1"/>
  <c r="G35" i="1"/>
  <c r="G36" i="1"/>
  <c r="G37" i="1"/>
  <c r="G49" i="1"/>
  <c r="G50" i="1"/>
  <c r="G51" i="1"/>
  <c r="G20" i="1"/>
  <c r="G21" i="1"/>
  <c r="G22" i="1"/>
  <c r="G23" i="1"/>
  <c r="G24" i="1"/>
  <c r="G25" i="1"/>
  <c r="G26" i="1"/>
  <c r="G44" i="1" l="1"/>
  <c r="H19" i="1" s="1"/>
  <c r="H82" i="1" s="1"/>
</calcChain>
</file>

<file path=xl/sharedStrings.xml><?xml version="1.0" encoding="utf-8"?>
<sst xmlns="http://schemas.openxmlformats.org/spreadsheetml/2006/main" count="226" uniqueCount="157">
  <si>
    <t>MAPA DE QUANTIDADE DE TRABALHOS - ELETRICIDADE</t>
  </si>
  <si>
    <t>CONTRATUAL</t>
  </si>
  <si>
    <t>CÓDIGO</t>
  </si>
  <si>
    <t>DESIGNAÇÃO</t>
  </si>
  <si>
    <t>UNI.</t>
  </si>
  <si>
    <t>QUANT.</t>
  </si>
  <si>
    <t>PREÇO UNITÁRIO</t>
  </si>
  <si>
    <t>PREÇO TOTAL</t>
  </si>
  <si>
    <t>TOTAL CAPÍTULO</t>
  </si>
  <si>
    <t>OBSERVAÇÕES TUU</t>
  </si>
  <si>
    <t>QUANT. TOTAIS</t>
  </si>
  <si>
    <t>EDIFICIO DE HABITAÇÃO UNIFAMILIAR</t>
  </si>
  <si>
    <t>NOTAS INICIAIS</t>
  </si>
  <si>
    <r>
      <rPr>
        <b/>
        <sz val="9"/>
        <rFont val="Calibri"/>
        <family val="2"/>
      </rPr>
      <t>Nota 1.</t>
    </r>
    <r>
      <rPr>
        <sz val="9"/>
        <rFont val="Calibri"/>
        <family val="2"/>
      </rPr>
      <t xml:space="preserve"> As eventuais referências a marcas, de materiais, de produtos ou de equipamentos, são apresentadas a título meramente indicativo de qualidade pretendido, devendo entender-se associadas ao termo "ou equivalente",</t>
    </r>
  </si>
  <si>
    <r>
      <rPr>
        <b/>
        <sz val="9"/>
        <rFont val="Calibri"/>
        <family val="2"/>
      </rPr>
      <t>Nota</t>
    </r>
    <r>
      <rPr>
        <sz val="9"/>
        <rFont val="Calibri"/>
        <family val="2"/>
      </rPr>
      <t xml:space="preserve"> </t>
    </r>
    <r>
      <rPr>
        <b/>
        <sz val="9"/>
        <rFont val="Calibri"/>
        <family val="2"/>
      </rPr>
      <t>2.</t>
    </r>
    <r>
      <rPr>
        <sz val="9"/>
        <rFont val="Calibri"/>
        <family val="2"/>
      </rPr>
      <t xml:space="preserve"> Mesmo que não expressamente indicado, em todos os trabalhos, e assim no seu preço, devem considerar-se incluídos o fornecimento de todos os materiais e equipamentos no local da obra, mão de obra, equipamentos, máquinas, trabalhos acessórios e complementares ou quaisquer atividades necessárias à boa execução e finalização da empreitada, e de modo a garantir o perfeito funcionamento das instalações respetivas.</t>
    </r>
  </si>
  <si>
    <r>
      <rPr>
        <b/>
        <sz val="9"/>
        <rFont val="Calibri"/>
        <family val="2"/>
      </rPr>
      <t>Nota 3.</t>
    </r>
    <r>
      <rPr>
        <sz val="9"/>
        <rFont val="Calibri"/>
        <family val="2"/>
      </rPr>
      <t xml:space="preserve"> Em todos os trabalhos, e assim no seu preço, devem considerar-se incluídos o controle de qualidade dos materiais, dos elementos de construção e dos trabalhos da obra.</t>
    </r>
  </si>
  <si>
    <r>
      <rPr>
        <b/>
        <sz val="9"/>
        <rFont val="Calibri"/>
        <family val="2"/>
      </rPr>
      <t>Nota 4.</t>
    </r>
    <r>
      <rPr>
        <sz val="9"/>
        <rFont val="Calibri"/>
        <family val="2"/>
      </rPr>
      <t xml:space="preserve"> Devem ainda incluir nos preços unitários os respetivos ensaios, vistorias e certificações, nos termos das normas e regulamentação aplicável.</t>
    </r>
  </si>
  <si>
    <r>
      <rPr>
        <b/>
        <sz val="9"/>
        <rFont val="Calibri"/>
        <family val="2"/>
      </rPr>
      <t>Nota 5.</t>
    </r>
    <r>
      <rPr>
        <sz val="9"/>
        <rFont val="Calibri"/>
        <family val="2"/>
      </rPr>
      <t xml:space="preserve"> Deverá o Empreiteiro proceder à atualização dos desenhos gerais, ao longo do tempo de execução da Obra.
Para tal deverá haver no Estaleiro uma equipa de desenhadores que farão as sucessivas atualizações.</t>
    </r>
  </si>
  <si>
    <r>
      <rPr>
        <b/>
        <sz val="9"/>
        <rFont val="Calibri"/>
        <family val="2"/>
      </rPr>
      <t>Nota 6</t>
    </r>
    <r>
      <rPr>
        <sz val="9"/>
        <rFont val="Calibri"/>
        <family val="2"/>
      </rPr>
      <t>. Em caso de falta de fundamentação e/ou justificação, do erro e/ou omissão, por não conterem as listas elementos necessários à sua apreciação, nomeadamente ausência de medições detalhadas, pode a entidade adjudicante considerá-las como não apresentadas. Não podendo as listas assim entregues, ser invocadas para efeitos de aplicação do disposto no n.º 3 do artigo 378.º do CCP em sede de execução do contrato</t>
    </r>
  </si>
  <si>
    <r>
      <rPr>
        <b/>
        <sz val="9"/>
        <rFont val="Calibri"/>
        <family val="2"/>
      </rPr>
      <t>Nota 7</t>
    </r>
    <r>
      <rPr>
        <sz val="9"/>
        <rFont val="Calibri"/>
        <family val="2"/>
      </rPr>
      <t>. O presente Mapa de Quantidades deverá ser confirmado pelos concorrentes quer por visita ao local da obra, quer através da leitura atenta das peças desenhadas que fazem parte integrante do processo em concurso.</t>
    </r>
  </si>
  <si>
    <r>
      <rPr>
        <b/>
        <sz val="9"/>
        <rFont val="Calibri"/>
        <family val="2"/>
      </rPr>
      <t>Nota 8</t>
    </r>
    <r>
      <rPr>
        <sz val="9"/>
        <rFont val="Calibri"/>
        <family val="2"/>
      </rPr>
      <t>. Preços apresentados não inclui o I.V.A.</t>
    </r>
  </si>
  <si>
    <t>ELETRICIDADE</t>
  </si>
  <si>
    <t/>
  </si>
  <si>
    <t>8.1</t>
  </si>
  <si>
    <t>ENTRADA E DISTRIBUIÇÃO DE ENERGIA</t>
  </si>
  <si>
    <t>8.1.1</t>
  </si>
  <si>
    <t>Abertura e tapamento de vala em perfil BT,com profundidade miníma de 80cm, incluindo areias, fita e rede de sinalização.</t>
  </si>
  <si>
    <t>ml</t>
  </si>
  <si>
    <t>8.1.2</t>
  </si>
  <si>
    <t>Fornecimento e colocação de tubo PEAD corrugado na cor vermelha, em vala aberta, com os seguintes diâmetros:</t>
  </si>
  <si>
    <t>8.1.2.1</t>
  </si>
  <si>
    <t>8.1.3</t>
  </si>
  <si>
    <t>cj</t>
  </si>
  <si>
    <t>8.2</t>
  </si>
  <si>
    <t>QUADROS ELÉTRICOS</t>
  </si>
  <si>
    <t>8.2.1</t>
  </si>
  <si>
    <t>Fornecimento e instalação dos quadros eléctricos conforme esquema unifilar, incluindo a ligação de todos os seus circuitos:</t>
  </si>
  <si>
    <t>8.2.1.1</t>
  </si>
  <si>
    <t>un</t>
  </si>
  <si>
    <t>8.2.1.2</t>
  </si>
  <si>
    <t>8.2.1.3</t>
  </si>
  <si>
    <t>8.2.1.4</t>
  </si>
  <si>
    <t>8.2.1.5</t>
  </si>
  <si>
    <t>8.3</t>
  </si>
  <si>
    <t>CIRCUITOS DE TOMADAS E ALIMENTAÇÕES DE EQUIPAMENTOS</t>
  </si>
  <si>
    <t>8.3.1</t>
  </si>
  <si>
    <t>Fornecimento e instalação em roço de tubo VD/Isogris dos seguintes diâmetros:</t>
  </si>
  <si>
    <t>8.3.1.2</t>
  </si>
  <si>
    <t>Ø25mm</t>
  </si>
  <si>
    <t>m</t>
  </si>
  <si>
    <t>8.3.1.3</t>
  </si>
  <si>
    <t>Ø32mm</t>
  </si>
  <si>
    <t>8.3.2</t>
  </si>
  <si>
    <t>Fornecimento e instalação em tubagem existente dos seguintes tipos de fios e cabos:</t>
  </si>
  <si>
    <t>8.3.2.2</t>
  </si>
  <si>
    <t>8.3.2.3</t>
  </si>
  <si>
    <t>8.3.2.4</t>
  </si>
  <si>
    <t>8.3.2.7</t>
  </si>
  <si>
    <t>8.4</t>
  </si>
  <si>
    <t>TOMADAS</t>
  </si>
  <si>
    <t>8.4.1</t>
  </si>
  <si>
    <t>Tomada monofásica c/ terra, de alvéolos protegidos, tipo SCHUKO, para montagem encastrada.</t>
  </si>
  <si>
    <t>Tomada monofásica c/ terra, de alvéolos protegidos, com tampa IP44, tipo SCHUKO, para montagem encastrada.</t>
  </si>
  <si>
    <t>8.5</t>
  </si>
  <si>
    <r>
      <rPr>
        <b/>
        <sz val="10"/>
        <rFont val="Calibri"/>
        <family val="2"/>
      </rPr>
      <t>CAIXAS</t>
    </r>
    <r>
      <rPr>
        <sz val="10"/>
        <rFont val="Calibri"/>
        <family val="2"/>
      </rPr>
      <t xml:space="preserve"> - Fornecimento e montagem de caixas com todos os acessórios e ligadores necessários:</t>
    </r>
  </si>
  <si>
    <t>8.5.3</t>
  </si>
  <si>
    <t>8.5.4</t>
  </si>
  <si>
    <t>8.5.5</t>
  </si>
  <si>
    <t>Fornecimento e instalação em tubagem dos seguintes tipos de fios ou cabos:</t>
  </si>
  <si>
    <t>8.5.6</t>
  </si>
  <si>
    <t>8.5.7</t>
  </si>
  <si>
    <t>Fornecimento e instalação de aparelhagem de manobra, para montagem encastrada, incluindo caixa de aparelhagem, dos seguintes tipos:</t>
  </si>
  <si>
    <t>8.5.7.1</t>
  </si>
  <si>
    <t>Interruptor unipolar</t>
  </si>
  <si>
    <t>8.5.7.2</t>
  </si>
  <si>
    <t>8.5.7.3</t>
  </si>
  <si>
    <t>Comutador de escada</t>
  </si>
  <si>
    <t>8.5.7.4</t>
  </si>
  <si>
    <t>8.5.7.5</t>
  </si>
  <si>
    <t>Detetores de movimento encastrar 360º</t>
  </si>
  <si>
    <t>Fornecimento e instalação dos seguintes tipos de aparelhos de iluminação, incluindo todos os acessórios nec essários ao seu correto funcionamento:</t>
  </si>
  <si>
    <t>L1</t>
  </si>
  <si>
    <t>L9</t>
  </si>
  <si>
    <t>L14</t>
  </si>
  <si>
    <t>L15</t>
  </si>
  <si>
    <t>8.7</t>
  </si>
  <si>
    <t>Rede de Terras</t>
  </si>
  <si>
    <t>8.7.1</t>
  </si>
  <si>
    <t>Fornecimento e instalação em tubagem ou enterrado dos seguintes tipos de condutores:</t>
  </si>
  <si>
    <t>8.7.1.1</t>
  </si>
  <si>
    <t>8.7.2</t>
  </si>
  <si>
    <t>Fornecimento e instalação de piquet de terra em aço cobreado com 2m, incluindo abraçadeiras de interligação ao condutor e todos os acessórios de ligação à estrutura metálica, garantindo a continuídade.</t>
  </si>
  <si>
    <t>8.7.3</t>
  </si>
  <si>
    <t>Fornecimento e instalação de caixa de Ligador Amovível da rede de terras</t>
  </si>
  <si>
    <t>vg</t>
  </si>
  <si>
    <t>Diversos</t>
  </si>
  <si>
    <t>10.1</t>
  </si>
  <si>
    <t>Conjunto de trabalhos, incluindo fornecimento de manuais e referências dos equipamentos utilizados. Programação e ensaios para todo o sistema, definidos pela legislação em vigor, incluindo termo de responsabilidade, todos os procedimentos e eventuais taxas para licenciamento, de acordo com o indicado neste projeto, telas finais e formação adequada a pessoal do dono de obra do projeto.</t>
  </si>
  <si>
    <t>10.2</t>
  </si>
  <si>
    <t>Abertura e tapamento de roços para as canalizações, incluindo remoção de entulho para vazadouro.</t>
  </si>
  <si>
    <t>10.3</t>
  </si>
  <si>
    <t>Validação de garantia dos equipamento da referida especialidade por parte do fabricante, a entregar ao Dono da Obra.</t>
  </si>
  <si>
    <t>10.4</t>
  </si>
  <si>
    <t>Ensaios, arranque das instalações e formação, conforme C.E.</t>
  </si>
  <si>
    <t>TOTAL:</t>
  </si>
  <si>
    <t>INSTALAÇÕES ELÉTRICAS</t>
  </si>
  <si>
    <t>Eletricidade</t>
  </si>
  <si>
    <t>ITED</t>
  </si>
  <si>
    <t>Instalação ITED</t>
  </si>
  <si>
    <t>TOTAL (Estimado):</t>
  </si>
  <si>
    <t>Q.P.1.1</t>
  </si>
  <si>
    <t>Q.P.1.2</t>
  </si>
  <si>
    <t>8.2.1.6</t>
  </si>
  <si>
    <t>Q.P.2.1</t>
  </si>
  <si>
    <t>Q.P.2.2</t>
  </si>
  <si>
    <t>Q.P.3.1</t>
  </si>
  <si>
    <t>Detetores de movimento encastrar 180º</t>
  </si>
  <si>
    <t>Ø63mm</t>
  </si>
  <si>
    <t>MORADIA - RUA EXEMPLO 5, Nº 31 0000-002, COIMBRA</t>
  </si>
  <si>
    <t>Caixa de derivação</t>
  </si>
  <si>
    <t>Caixas de aparelhagem</t>
  </si>
  <si>
    <t>8.5.7.6</t>
  </si>
  <si>
    <t>8.5.7.7</t>
  </si>
  <si>
    <t>8.5.7.8</t>
  </si>
  <si>
    <t>8.5.7.9</t>
  </si>
  <si>
    <t>8.5.7.10</t>
  </si>
  <si>
    <t xml:space="preserve">L8 / L7 </t>
  </si>
  <si>
    <t>Q.E.G</t>
  </si>
  <si>
    <t>8.4.1.1</t>
  </si>
  <si>
    <t>8.4.1.2</t>
  </si>
  <si>
    <t>Fornecimento e instalação da seguinte aparelhagem :</t>
  </si>
  <si>
    <t>8.6</t>
  </si>
  <si>
    <t>VIDEOPORTEIRO</t>
  </si>
  <si>
    <t>8.6.1</t>
  </si>
  <si>
    <t>8.6.2</t>
  </si>
  <si>
    <t>Trinco elétrico</t>
  </si>
  <si>
    <t>8.6.3</t>
  </si>
  <si>
    <t>8.6.4</t>
  </si>
  <si>
    <t>Tubagem e cabos</t>
  </si>
  <si>
    <t>8.6.4.1</t>
  </si>
  <si>
    <t>VD/Isogris 25</t>
  </si>
  <si>
    <t>8.6.4.2</t>
  </si>
  <si>
    <t>Cabo U/UTP Cat.6</t>
  </si>
  <si>
    <t>Caixa Portinhola P100, REF 32470 da Quitérios ou de qualidade e características equivalentes.</t>
  </si>
  <si>
    <t>Botoneira exterior, Hikvision DS-KV6113-WPE1(C) + DS-KABV6113-RS</t>
  </si>
  <si>
    <t>Ecrã videoporteiro Hikvision DS-KH6320-LE1(B) price</t>
  </si>
  <si>
    <t>ESTIMATIVA GLOBAL (PROJ EXECUÇÃO)</t>
  </si>
  <si>
    <t>H07V-K - 10mm²</t>
  </si>
  <si>
    <t>H07V-K - 4mm²</t>
  </si>
  <si>
    <t>H07V-K - 2,5mm²</t>
  </si>
  <si>
    <t>RV-K 4x16m²</t>
  </si>
  <si>
    <t>H07V-K - 1,5mm²</t>
  </si>
  <si>
    <t>XV-R 1G16mm²</t>
  </si>
  <si>
    <t>8.7.2.1</t>
  </si>
  <si>
    <t>Ø40mm</t>
  </si>
  <si>
    <t>8.5.7.11</t>
  </si>
  <si>
    <t>Iluminação de segurança permanente, equipada com pictograma fotoluminescente, com autonomia &gt;1h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</si>
</sst>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 &quot;€&quot;"/>
    <numFmt numFmtId="165" formatCode="_([$€]* #.##0.00_);_([$€]* \(#.##0.00\);_([$€]* &quot;-&quot;??_);_(@_)"/>
    <numFmt numFmtId="166" formatCode="&quot;€  &quot;#,##0.00"/>
    <numFmt numFmtId="167" formatCode="_-* #,##0.00\ [$€]_-;\-* #,##0.00\ [$€]_-;_-* &quot;-&quot;??\ [$€]_-;_-@_-"/>
    <numFmt numFmtId="168" formatCode="#,##0.00\ &quot;Esc.&quot;;[Red]\-#,##0.00\ &quot;Esc.&quot;"/>
    <numFmt numFmtId="169" formatCode="#,##0.00&quot; €&quot;;[Red]\-#,##0.00&quot; €&quot;"/>
    <numFmt numFmtId="170" formatCode="#,##0.00_ ;[Red]\-#,##0.00\ "/>
  </numFmts>
  <fonts count="20" x14ac:knownFonts="1">
    <font>
      <sz val="11"/>
      <color theme="1"/>
      <name val="Aptos Narrow"/>
      <family val="2"/>
      <scheme val="minor"/>
    </font>
    <font>
      <sz val="11"/>
      <color indexed="8"/>
      <name val="Calibri"/>
      <family val="2"/>
    </font>
    <font>
      <sz val="10"/>
      <name val="Arial"/>
      <family val="2"/>
    </font>
    <font>
      <b/>
      <sz val="10"/>
      <name val="Calibri"/>
      <family val="2"/>
    </font>
    <font>
      <sz val="10"/>
      <name val="Calibri"/>
      <family val="2"/>
    </font>
    <font>
      <sz val="10"/>
      <color rgb="FFFF0000"/>
      <name val="Calibri"/>
      <family val="2"/>
    </font>
    <font>
      <b/>
      <sz val="10"/>
      <color theme="0"/>
      <name val="Calibri"/>
      <family val="2"/>
    </font>
    <font>
      <sz val="10"/>
      <color theme="1"/>
      <name val="Calibri"/>
      <family val="2"/>
    </font>
    <font>
      <sz val="10"/>
      <name val="MS Sans Serif"/>
    </font>
    <font>
      <sz val="10"/>
      <name val="MS Sans Serif"/>
      <family val="2"/>
    </font>
    <font>
      <sz val="10"/>
      <name val="Helv"/>
    </font>
    <font>
      <sz val="10"/>
      <name val="Calibri"/>
      <family val="2"/>
      <charset val="1"/>
    </font>
    <font>
      <sz val="10"/>
      <color rgb="FF000000"/>
      <name val="Calibri"/>
      <family val="2"/>
      <charset val="1"/>
    </font>
    <font>
      <b/>
      <sz val="11"/>
      <color theme="0"/>
      <name val="Calibri"/>
      <family val="2"/>
    </font>
    <font>
      <b/>
      <sz val="10"/>
      <color rgb="FF000000"/>
      <name val="Calibri"/>
      <family val="2"/>
    </font>
    <font>
      <sz val="10"/>
      <color rgb="FF000000"/>
      <name val="Calibri"/>
      <family val="2"/>
    </font>
    <font>
      <sz val="8"/>
      <name val="Aptos Narrow"/>
      <family val="2"/>
      <scheme val="minor"/>
    </font>
    <font>
      <b/>
      <sz val="9"/>
      <name val="Calibri"/>
      <family val="2"/>
    </font>
    <font>
      <sz val="9"/>
      <name val="Calibri"/>
      <family val="2"/>
    </font>
    <font>
      <b/>
      <sz val="10"/>
      <color theme="1"/>
      <name val="Calibri"/>
      <family val="2"/>
    </font>
  </fonts>
  <fills count="8">
    <fill>
      <patternFill patternType="none"/>
    </fill>
    <fill>
      <patternFill patternType="gray125"/>
    </fill>
    <fill>
      <patternFill patternType="solid">
        <fgColor theme="1"/>
        <bgColor indexed="64"/>
      </patternFill>
    </fill>
    <fill>
      <patternFill patternType="solid">
        <fgColor theme="0" tint="-0.34998626667073579"/>
        <bgColor indexed="64"/>
      </patternFill>
    </fill>
    <fill>
      <patternFill patternType="solid">
        <fgColor theme="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FFC000"/>
        <bgColor indexed="64"/>
      </patternFill>
    </fill>
  </fills>
  <borders count="26">
    <border>
      <left/>
      <right/>
      <top/>
      <bottom/>
      <diagonal/>
    </border>
    <border>
      <left style="medium">
        <color auto="1"/>
      </left>
      <right/>
      <top/>
      <bottom/>
      <diagonal/>
    </border>
    <border>
      <left/>
      <right style="medium">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thin">
        <color auto="1"/>
      </right>
      <top style="medium">
        <color indexed="64"/>
      </top>
      <bottom style="medium">
        <color indexed="8"/>
      </bottom>
      <diagonal/>
    </border>
    <border>
      <left style="thin">
        <color auto="1"/>
      </left>
      <right style="thin">
        <color auto="1"/>
      </right>
      <top style="medium">
        <color indexed="64"/>
      </top>
      <bottom style="medium">
        <color indexed="8"/>
      </bottom>
      <diagonal/>
    </border>
    <border>
      <left style="thin">
        <color auto="1"/>
      </left>
      <right style="medium">
        <color auto="1"/>
      </right>
      <top style="medium">
        <color indexed="64"/>
      </top>
      <bottom style="medium">
        <color indexed="8"/>
      </bottom>
      <diagonal/>
    </border>
    <border>
      <left style="thin">
        <color indexed="64"/>
      </left>
      <right style="thin">
        <color indexed="64"/>
      </right>
      <top/>
      <bottom style="medium">
        <color indexed="64"/>
      </bottom>
      <diagonal/>
    </border>
    <border>
      <left style="hair">
        <color indexed="64"/>
      </left>
      <right style="hair">
        <color indexed="64"/>
      </right>
      <top style="hair">
        <color indexed="64"/>
      </top>
      <bottom style="hair">
        <color indexed="64"/>
      </bottom>
      <diagonal/>
    </border>
    <border>
      <left style="medium">
        <color auto="1"/>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thin">
        <color indexed="64"/>
      </right>
      <top/>
      <bottom style="medium">
        <color auto="1"/>
      </bottom>
      <diagonal/>
    </border>
    <border>
      <left style="medium">
        <color indexed="64"/>
      </left>
      <right/>
      <top style="medium">
        <color indexed="64"/>
      </top>
      <bottom/>
      <diagonal/>
    </border>
    <border>
      <left/>
      <right/>
      <top style="medium">
        <color auto="1"/>
      </top>
      <bottom/>
      <diagonal/>
    </border>
    <border>
      <left style="medium">
        <color auto="1"/>
      </left>
      <right style="thin">
        <color auto="1"/>
      </right>
      <top style="medium">
        <color indexed="8"/>
      </top>
      <bottom style="medium">
        <color auto="1"/>
      </bottom>
      <diagonal/>
    </border>
    <border>
      <left style="thin">
        <color auto="1"/>
      </left>
      <right style="thin">
        <color auto="1"/>
      </right>
      <top style="medium">
        <color indexed="8"/>
      </top>
      <bottom style="medium">
        <color auto="1"/>
      </bottom>
      <diagonal/>
    </border>
    <border>
      <left style="thin">
        <color auto="1"/>
      </left>
      <right style="medium">
        <color auto="1"/>
      </right>
      <top style="medium">
        <color indexed="8"/>
      </top>
      <bottom style="medium">
        <color auto="1"/>
      </bottom>
      <diagonal/>
    </border>
    <border>
      <left/>
      <right/>
      <top style="hair">
        <color auto="1"/>
      </top>
      <bottom style="hair">
        <color auto="1"/>
      </bottom>
      <diagonal/>
    </border>
    <border>
      <left/>
      <right style="medium">
        <color indexed="64"/>
      </right>
      <top style="medium">
        <color indexed="64"/>
      </top>
      <bottom/>
      <diagonal/>
    </border>
    <border>
      <left style="thin">
        <color auto="1"/>
      </left>
      <right style="thin">
        <color auto="1"/>
      </right>
      <top style="medium">
        <color auto="1"/>
      </top>
      <bottom/>
      <diagonal/>
    </border>
    <border>
      <left/>
      <right style="thin">
        <color auto="1"/>
      </right>
      <top style="medium">
        <color indexed="64"/>
      </top>
      <bottom/>
      <diagonal/>
    </border>
  </borders>
  <cellStyleXfs count="13">
    <xf numFmtId="0" fontId="0" fillId="0" borderId="0"/>
    <xf numFmtId="0" fontId="1" fillId="0" borderId="0"/>
    <xf numFmtId="165" fontId="2" fillId="0" borderId="0" applyFont="0" applyFill="0" applyBorder="0" applyAlignment="0" applyProtection="0"/>
    <xf numFmtId="0" fontId="8" fillId="0" borderId="0"/>
    <xf numFmtId="168" fontId="9" fillId="0" borderId="0" applyFont="0" applyFill="0" applyBorder="0" applyAlignment="0" applyProtection="0"/>
    <xf numFmtId="9" fontId="9" fillId="0" borderId="0" applyFont="0" applyFill="0" applyBorder="0" applyAlignment="0" applyProtection="0"/>
    <xf numFmtId="0" fontId="2" fillId="0" borderId="0"/>
    <xf numFmtId="167" fontId="2" fillId="0" borderId="0" applyFont="0" applyFill="0" applyBorder="0" applyAlignment="0" applyProtection="0"/>
    <xf numFmtId="0" fontId="2" fillId="0" borderId="0"/>
    <xf numFmtId="0" fontId="10" fillId="0" borderId="0"/>
    <xf numFmtId="0" fontId="2" fillId="0" borderId="0"/>
    <xf numFmtId="0" fontId="2" fillId="0" borderId="0"/>
    <xf numFmtId="0" fontId="2" fillId="0" borderId="0"/>
  </cellStyleXfs>
  <cellXfs count="139">
    <xf numFmtId="0" fontId="0" fillId="0" borderId="0" xfId="0"/>
    <xf numFmtId="49" fontId="3" fillId="0" borderId="4" xfId="0" applyNumberFormat="1" applyFont="1" applyBorder="1" applyAlignment="1">
      <alignment vertical="top" wrapText="1"/>
    </xf>
    <xf numFmtId="4" fontId="4" fillId="0" borderId="4" xfId="0" applyNumberFormat="1" applyFont="1" applyBorder="1" applyAlignment="1">
      <alignment horizontal="center"/>
    </xf>
    <xf numFmtId="164" fontId="4" fillId="0" borderId="5" xfId="0" applyNumberFormat="1" applyFont="1" applyBorder="1"/>
    <xf numFmtId="164" fontId="3" fillId="3" borderId="4" xfId="2" applyNumberFormat="1" applyFont="1" applyFill="1" applyBorder="1" applyAlignment="1">
      <alignment horizontal="left" vertical="center" wrapText="1"/>
    </xf>
    <xf numFmtId="2" fontId="4" fillId="3" borderId="4" xfId="0" applyNumberFormat="1" applyFont="1" applyFill="1" applyBorder="1" applyAlignment="1">
      <alignment horizontal="center" wrapText="1"/>
    </xf>
    <xf numFmtId="166" fontId="4" fillId="3" borderId="4" xfId="0" applyNumberFormat="1" applyFont="1" applyFill="1" applyBorder="1" applyAlignment="1">
      <alignment horizontal="center" vertical="center" wrapText="1" shrinkToFit="1"/>
    </xf>
    <xf numFmtId="0" fontId="4" fillId="0" borderId="10" xfId="0" applyFont="1" applyBorder="1" applyAlignment="1">
      <alignment horizontal="center"/>
    </xf>
    <xf numFmtId="0" fontId="7" fillId="0" borderId="0" xfId="0" applyFont="1"/>
    <xf numFmtId="0" fontId="4" fillId="0" borderId="12" xfId="0" applyFont="1" applyBorder="1" applyAlignment="1">
      <alignment horizontal="right" vertical="top"/>
    </xf>
    <xf numFmtId="0" fontId="3" fillId="2" borderId="0" xfId="0" applyFont="1" applyFill="1" applyAlignment="1">
      <alignment wrapText="1"/>
    </xf>
    <xf numFmtId="0" fontId="3" fillId="0" borderId="4" xfId="0" applyFont="1" applyBorder="1" applyAlignment="1">
      <alignment wrapText="1"/>
    </xf>
    <xf numFmtId="0" fontId="3" fillId="0" borderId="0" xfId="0" applyFont="1" applyAlignment="1">
      <alignment wrapText="1"/>
    </xf>
    <xf numFmtId="0" fontId="7" fillId="0" borderId="0" xfId="0" applyFont="1" applyAlignment="1">
      <alignment wrapText="1"/>
    </xf>
    <xf numFmtId="0" fontId="4" fillId="0" borderId="0" xfId="0" applyFont="1" applyAlignment="1">
      <alignment horizontal="justify" vertical="top" wrapText="1"/>
    </xf>
    <xf numFmtId="0" fontId="4" fillId="3" borderId="4" xfId="0" applyFont="1" applyFill="1" applyBorder="1" applyAlignment="1">
      <alignment horizontal="center" wrapText="1"/>
    </xf>
    <xf numFmtId="0" fontId="3" fillId="0" borderId="0" xfId="0" applyFont="1" applyAlignment="1">
      <alignment horizontal="justify" vertical="top" wrapText="1"/>
    </xf>
    <xf numFmtId="0" fontId="4" fillId="0" borderId="0" xfId="0" applyFont="1" applyAlignment="1">
      <alignment horizontal="center"/>
    </xf>
    <xf numFmtId="167" fontId="3" fillId="0" borderId="0" xfId="0" applyNumberFormat="1" applyFont="1" applyAlignment="1">
      <alignment horizontal="right" vertical="top"/>
    </xf>
    <xf numFmtId="0" fontId="5" fillId="0" borderId="0" xfId="0" applyFont="1" applyAlignment="1">
      <alignment horizontal="left" wrapText="1"/>
    </xf>
    <xf numFmtId="0" fontId="4" fillId="0" borderId="0" xfId="0" applyFont="1" applyAlignment="1">
      <alignment horizontal="right" vertical="top"/>
    </xf>
    <xf numFmtId="0" fontId="4" fillId="0" borderId="0" xfId="0" applyFont="1" applyAlignment="1">
      <alignment wrapText="1"/>
    </xf>
    <xf numFmtId="2" fontId="4" fillId="0" borderId="0" xfId="0" applyNumberFormat="1" applyFont="1" applyAlignment="1">
      <alignment horizontal="center" wrapText="1"/>
    </xf>
    <xf numFmtId="164" fontId="3" fillId="0" borderId="0" xfId="0" applyNumberFormat="1" applyFont="1" applyAlignment="1">
      <alignment horizontal="right" vertical="center"/>
    </xf>
    <xf numFmtId="166" fontId="4" fillId="0" borderId="0" xfId="0" applyNumberFormat="1" applyFont="1" applyAlignment="1">
      <alignment horizontal="center" vertical="center" wrapText="1" shrinkToFit="1"/>
    </xf>
    <xf numFmtId="0" fontId="5" fillId="0" borderId="0" xfId="0" applyFont="1" applyAlignment="1">
      <alignment wrapText="1"/>
    </xf>
    <xf numFmtId="0" fontId="4" fillId="0" borderId="0" xfId="0" applyFont="1" applyAlignment="1">
      <alignment vertical="top"/>
    </xf>
    <xf numFmtId="2" fontId="3" fillId="0" borderId="4" xfId="1" applyNumberFormat="1" applyFont="1" applyBorder="1" applyAlignment="1">
      <alignment horizontal="center" vertical="center" wrapText="1"/>
    </xf>
    <xf numFmtId="4" fontId="4" fillId="0" borderId="14" xfId="0" applyNumberFormat="1" applyFont="1" applyBorder="1" applyAlignment="1">
      <alignment horizontal="center"/>
    </xf>
    <xf numFmtId="164" fontId="4" fillId="0" borderId="15" xfId="0" applyNumberFormat="1" applyFont="1" applyBorder="1" applyAlignment="1">
      <alignment horizontal="right"/>
    </xf>
    <xf numFmtId="4" fontId="4" fillId="0" borderId="10" xfId="0" applyNumberFormat="1" applyFont="1" applyBorder="1" applyAlignment="1">
      <alignment horizontal="center"/>
    </xf>
    <xf numFmtId="164" fontId="4" fillId="0" borderId="12" xfId="0" applyNumberFormat="1" applyFont="1" applyBorder="1" applyAlignment="1">
      <alignment horizontal="right"/>
    </xf>
    <xf numFmtId="2" fontId="6" fillId="2" borderId="2" xfId="0" applyNumberFormat="1" applyFont="1" applyFill="1" applyBorder="1" applyAlignment="1">
      <alignment vertical="center"/>
    </xf>
    <xf numFmtId="0" fontId="3" fillId="2" borderId="2" xfId="0" applyFont="1" applyFill="1" applyBorder="1"/>
    <xf numFmtId="164" fontId="3" fillId="3" borderId="5" xfId="0" applyNumberFormat="1" applyFont="1" applyFill="1" applyBorder="1" applyAlignment="1">
      <alignment horizontal="right" vertical="center" wrapText="1"/>
    </xf>
    <xf numFmtId="0" fontId="11" fillId="0" borderId="10" xfId="0" applyFont="1" applyBorder="1" applyAlignment="1">
      <alignment horizontal="right" vertical="center" wrapText="1"/>
    </xf>
    <xf numFmtId="169" fontId="12" fillId="0" borderId="10" xfId="0" applyNumberFormat="1" applyFont="1" applyBorder="1" applyAlignment="1">
      <alignment horizontal="right" wrapText="1"/>
    </xf>
    <xf numFmtId="0" fontId="11" fillId="0" borderId="10" xfId="0" applyFont="1" applyBorder="1" applyAlignment="1">
      <alignment horizontal="right" wrapText="1"/>
    </xf>
    <xf numFmtId="169" fontId="14" fillId="0" borderId="10" xfId="0" applyNumberFormat="1" applyFont="1" applyBorder="1" applyAlignment="1">
      <alignment horizontal="right" wrapText="1"/>
    </xf>
    <xf numFmtId="2" fontId="3" fillId="2" borderId="18" xfId="0" applyNumberFormat="1" applyFont="1" applyFill="1" applyBorder="1" applyAlignment="1">
      <alignment horizontal="center"/>
    </xf>
    <xf numFmtId="2" fontId="3" fillId="2" borderId="0" xfId="0" applyNumberFormat="1" applyFont="1" applyFill="1" applyAlignment="1">
      <alignment horizontal="center"/>
    </xf>
    <xf numFmtId="2" fontId="3" fillId="0" borderId="4" xfId="0" applyNumberFormat="1" applyFont="1" applyBorder="1" applyAlignment="1">
      <alignment horizontal="center"/>
    </xf>
    <xf numFmtId="2" fontId="3" fillId="0" borderId="14" xfId="0" applyNumberFormat="1" applyFont="1" applyBorder="1" applyAlignment="1">
      <alignment horizontal="center"/>
    </xf>
    <xf numFmtId="2" fontId="3" fillId="0" borderId="10" xfId="0" applyNumberFormat="1" applyFont="1" applyBorder="1" applyAlignment="1">
      <alignment horizontal="center"/>
    </xf>
    <xf numFmtId="2" fontId="4" fillId="0" borderId="10" xfId="0" applyNumberFormat="1" applyFont="1" applyBorder="1" applyAlignment="1">
      <alignment horizontal="center"/>
    </xf>
    <xf numFmtId="0" fontId="7" fillId="0" borderId="0" xfId="0" applyFont="1" applyAlignment="1">
      <alignment horizontal="center"/>
    </xf>
    <xf numFmtId="0" fontId="6" fillId="2" borderId="17" xfId="0" applyFont="1" applyFill="1" applyBorder="1" applyAlignment="1">
      <alignment horizontal="center"/>
    </xf>
    <xf numFmtId="0" fontId="4" fillId="2" borderId="1" xfId="0" applyFont="1" applyFill="1" applyBorder="1" applyAlignment="1">
      <alignment horizontal="center"/>
    </xf>
    <xf numFmtId="0" fontId="3" fillId="0" borderId="3" xfId="0" applyFont="1" applyBorder="1" applyAlignment="1">
      <alignment horizontal="center" vertical="top"/>
    </xf>
    <xf numFmtId="1" fontId="3" fillId="3" borderId="3" xfId="2" quotePrefix="1" applyNumberFormat="1" applyFont="1" applyFill="1" applyBorder="1" applyAlignment="1">
      <alignment horizontal="center" vertical="center"/>
    </xf>
    <xf numFmtId="0" fontId="3" fillId="0" borderId="13" xfId="0" applyFont="1" applyBorder="1" applyAlignment="1">
      <alignment horizontal="center" vertical="top"/>
    </xf>
    <xf numFmtId="0" fontId="3" fillId="0" borderId="11" xfId="0" applyFont="1" applyBorder="1" applyAlignment="1">
      <alignment horizontal="center" vertical="top"/>
    </xf>
    <xf numFmtId="0" fontId="3" fillId="0" borderId="0" xfId="0" applyFont="1" applyAlignment="1">
      <alignment horizontal="center" vertical="top"/>
    </xf>
    <xf numFmtId="0" fontId="4" fillId="0" borderId="0" xfId="0" applyFont="1" applyAlignment="1">
      <alignment horizontal="center" vertical="top"/>
    </xf>
    <xf numFmtId="49" fontId="3" fillId="0" borderId="0" xfId="0" applyNumberFormat="1" applyFont="1" applyAlignment="1">
      <alignment horizontal="center" vertical="top"/>
    </xf>
    <xf numFmtId="1" fontId="3" fillId="0" borderId="0" xfId="2" quotePrefix="1" applyNumberFormat="1" applyFont="1" applyFill="1" applyBorder="1" applyAlignment="1">
      <alignment horizontal="center" vertical="center"/>
    </xf>
    <xf numFmtId="0" fontId="3" fillId="0" borderId="11" xfId="0" applyFont="1" applyBorder="1" applyAlignment="1">
      <alignment horizontal="center"/>
    </xf>
    <xf numFmtId="0" fontId="4" fillId="0" borderId="11" xfId="0" applyFont="1" applyBorder="1" applyAlignment="1">
      <alignment horizontal="center"/>
    </xf>
    <xf numFmtId="0" fontId="7" fillId="0" borderId="11" xfId="0" applyFont="1" applyBorder="1" applyAlignment="1">
      <alignment horizontal="center"/>
    </xf>
    <xf numFmtId="0" fontId="7" fillId="0" borderId="10" xfId="0" applyFont="1" applyBorder="1" applyAlignment="1">
      <alignment horizontal="center"/>
    </xf>
    <xf numFmtId="169" fontId="15" fillId="0" borderId="10" xfId="0" applyNumberFormat="1" applyFont="1" applyBorder="1" applyAlignment="1">
      <alignment horizontal="right" wrapText="1"/>
    </xf>
    <xf numFmtId="0" fontId="4" fillId="2" borderId="18" xfId="0" applyFont="1" applyFill="1" applyBorder="1" applyAlignment="1">
      <alignment horizontal="center"/>
    </xf>
    <xf numFmtId="2" fontId="6" fillId="2" borderId="18" xfId="0" applyNumberFormat="1" applyFont="1" applyFill="1" applyBorder="1" applyAlignment="1">
      <alignment horizontal="center" vertical="center"/>
    </xf>
    <xf numFmtId="0" fontId="4" fillId="2" borderId="0" xfId="0" applyFont="1" applyFill="1" applyAlignment="1">
      <alignment horizontal="center"/>
    </xf>
    <xf numFmtId="2" fontId="4" fillId="2" borderId="18" xfId="0" applyNumberFormat="1" applyFont="1" applyFill="1" applyBorder="1" applyAlignment="1">
      <alignment horizontal="right"/>
    </xf>
    <xf numFmtId="0" fontId="4" fillId="2" borderId="18" xfId="0" applyFont="1" applyFill="1" applyBorder="1" applyAlignment="1">
      <alignment horizontal="right"/>
    </xf>
    <xf numFmtId="2" fontId="6" fillId="2" borderId="18" xfId="0" applyNumberFormat="1" applyFont="1" applyFill="1" applyBorder="1" applyAlignment="1">
      <alignment horizontal="right" vertical="center"/>
    </xf>
    <xf numFmtId="2" fontId="6" fillId="2" borderId="0" xfId="0" applyNumberFormat="1" applyFont="1" applyFill="1" applyAlignment="1">
      <alignment horizontal="right" vertical="center"/>
    </xf>
    <xf numFmtId="2" fontId="4" fillId="2" borderId="0" xfId="0" applyNumberFormat="1" applyFont="1" applyFill="1" applyAlignment="1">
      <alignment horizontal="right"/>
    </xf>
    <xf numFmtId="0" fontId="4" fillId="2" borderId="0" xfId="0" applyFont="1" applyFill="1" applyAlignment="1">
      <alignment horizontal="right"/>
    </xf>
    <xf numFmtId="164" fontId="4" fillId="0" borderId="4" xfId="0" applyNumberFormat="1" applyFont="1" applyBorder="1" applyAlignment="1">
      <alignment horizontal="right"/>
    </xf>
    <xf numFmtId="0" fontId="4" fillId="3" borderId="4" xfId="0" applyFont="1" applyFill="1" applyBorder="1" applyAlignment="1">
      <alignment horizontal="right" wrapText="1"/>
    </xf>
    <xf numFmtId="164" fontId="4" fillId="3" borderId="4" xfId="2" applyNumberFormat="1" applyFont="1" applyFill="1" applyBorder="1" applyAlignment="1">
      <alignment horizontal="right" wrapText="1"/>
    </xf>
    <xf numFmtId="164" fontId="4" fillId="0" borderId="14" xfId="0" applyNumberFormat="1" applyFont="1" applyBorder="1" applyAlignment="1">
      <alignment horizontal="right"/>
    </xf>
    <xf numFmtId="164" fontId="4" fillId="0" borderId="10" xfId="0" applyNumberFormat="1" applyFont="1" applyBorder="1" applyAlignment="1">
      <alignment horizontal="right"/>
    </xf>
    <xf numFmtId="164" fontId="4" fillId="0" borderId="0" xfId="2" applyNumberFormat="1" applyFont="1" applyFill="1" applyBorder="1" applyAlignment="1">
      <alignment horizontal="right" wrapText="1"/>
    </xf>
    <xf numFmtId="164" fontId="4" fillId="0" borderId="0" xfId="0" applyNumberFormat="1" applyFont="1" applyAlignment="1">
      <alignment horizontal="right"/>
    </xf>
    <xf numFmtId="0" fontId="4" fillId="0" borderId="0" xfId="0" applyFont="1" applyAlignment="1">
      <alignment horizontal="right"/>
    </xf>
    <xf numFmtId="164" fontId="4" fillId="0" borderId="0" xfId="2" applyNumberFormat="1" applyFont="1" applyFill="1" applyBorder="1" applyAlignment="1">
      <alignment horizontal="right"/>
    </xf>
    <xf numFmtId="0" fontId="7" fillId="0" borderId="0" xfId="0" applyFont="1" applyAlignment="1">
      <alignment horizontal="right"/>
    </xf>
    <xf numFmtId="0" fontId="4" fillId="2" borderId="18" xfId="0" applyFont="1" applyFill="1" applyBorder="1" applyAlignment="1">
      <alignment vertical="top" wrapText="1"/>
    </xf>
    <xf numFmtId="0" fontId="4" fillId="2" borderId="0" xfId="0" applyFont="1" applyFill="1" applyAlignment="1">
      <alignment vertical="top" wrapText="1"/>
    </xf>
    <xf numFmtId="0" fontId="7" fillId="0" borderId="10" xfId="0" applyFont="1" applyBorder="1" applyAlignment="1">
      <alignment wrapText="1"/>
    </xf>
    <xf numFmtId="164" fontId="3" fillId="0" borderId="0" xfId="2" applyNumberFormat="1" applyFont="1" applyFill="1" applyBorder="1" applyAlignment="1">
      <alignment horizontal="left" vertical="center" wrapText="1"/>
    </xf>
    <xf numFmtId="164" fontId="15" fillId="0" borderId="10" xfId="0" applyNumberFormat="1" applyFont="1" applyBorder="1" applyAlignment="1">
      <alignment horizontal="right" wrapText="1"/>
    </xf>
    <xf numFmtId="164" fontId="4" fillId="0" borderId="10" xfId="0" applyNumberFormat="1" applyFont="1" applyBorder="1" applyAlignment="1">
      <alignment horizontal="right" wrapText="1"/>
    </xf>
    <xf numFmtId="2" fontId="7" fillId="0" borderId="10" xfId="0" applyNumberFormat="1" applyFont="1" applyBorder="1" applyAlignment="1">
      <alignment horizontal="center"/>
    </xf>
    <xf numFmtId="0" fontId="4" fillId="0" borderId="12" xfId="0" applyFont="1" applyBorder="1" applyAlignment="1">
      <alignment horizontal="right"/>
    </xf>
    <xf numFmtId="49" fontId="17" fillId="0" borderId="14" xfId="0" applyNumberFormat="1" applyFont="1" applyBorder="1" applyAlignment="1">
      <alignment vertical="top" wrapText="1"/>
    </xf>
    <xf numFmtId="0" fontId="18" fillId="0" borderId="10" xfId="0" applyFont="1" applyBorder="1" applyAlignment="1">
      <alignment horizontal="justify" vertical="center" wrapText="1"/>
    </xf>
    <xf numFmtId="169" fontId="12" fillId="4" borderId="10" xfId="0" applyNumberFormat="1" applyFont="1" applyFill="1" applyBorder="1" applyAlignment="1">
      <alignment horizontal="right" wrapText="1"/>
    </xf>
    <xf numFmtId="0" fontId="4" fillId="4" borderId="12" xfId="0" applyFont="1" applyFill="1" applyBorder="1" applyAlignment="1">
      <alignment horizontal="right" vertical="top"/>
    </xf>
    <xf numFmtId="0" fontId="19" fillId="5" borderId="10" xfId="0" applyFont="1" applyFill="1" applyBorder="1" applyAlignment="1">
      <alignment wrapText="1"/>
    </xf>
    <xf numFmtId="0" fontId="19" fillId="5" borderId="10" xfId="0" applyFont="1" applyFill="1" applyBorder="1" applyAlignment="1">
      <alignment horizontal="center"/>
    </xf>
    <xf numFmtId="2" fontId="19" fillId="5" borderId="10" xfId="0" applyNumberFormat="1" applyFont="1" applyFill="1" applyBorder="1" applyAlignment="1">
      <alignment horizontal="center"/>
    </xf>
    <xf numFmtId="164" fontId="11" fillId="5" borderId="10" xfId="0" applyNumberFormat="1" applyFont="1" applyFill="1" applyBorder="1" applyAlignment="1">
      <alignment horizontal="right" wrapText="1"/>
    </xf>
    <xf numFmtId="169" fontId="12" fillId="5" borderId="10" xfId="0" applyNumberFormat="1" applyFont="1" applyFill="1" applyBorder="1" applyAlignment="1">
      <alignment horizontal="right" wrapText="1"/>
    </xf>
    <xf numFmtId="169" fontId="3" fillId="5" borderId="12" xfId="0" applyNumberFormat="1" applyFont="1" applyFill="1" applyBorder="1" applyAlignment="1">
      <alignment horizontal="right"/>
    </xf>
    <xf numFmtId="164" fontId="11" fillId="0" borderId="10" xfId="0" applyNumberFormat="1" applyFont="1" applyBorder="1" applyAlignment="1">
      <alignment horizontal="right" wrapText="1"/>
    </xf>
    <xf numFmtId="0" fontId="18" fillId="4" borderId="10" xfId="0" applyFont="1" applyFill="1" applyBorder="1" applyAlignment="1">
      <alignment horizontal="justify" vertical="center" wrapText="1"/>
    </xf>
    <xf numFmtId="0" fontId="19" fillId="4" borderId="11" xfId="0" applyFont="1" applyFill="1" applyBorder="1" applyAlignment="1">
      <alignment horizontal="center"/>
    </xf>
    <xf numFmtId="0" fontId="7" fillId="4" borderId="11" xfId="0" applyFont="1" applyFill="1" applyBorder="1" applyAlignment="1">
      <alignment horizontal="center"/>
    </xf>
    <xf numFmtId="0" fontId="3" fillId="0" borderId="0" xfId="0" applyFont="1" applyAlignment="1">
      <alignment horizontal="left" wrapText="1"/>
    </xf>
    <xf numFmtId="169" fontId="4" fillId="0" borderId="12" xfId="0" applyNumberFormat="1" applyFont="1" applyBorder="1" applyAlignment="1">
      <alignment horizontal="right"/>
    </xf>
    <xf numFmtId="0" fontId="7" fillId="5" borderId="10" xfId="0" applyFont="1" applyFill="1" applyBorder="1" applyAlignment="1">
      <alignment horizontal="center"/>
    </xf>
    <xf numFmtId="2" fontId="7" fillId="5" borderId="10" xfId="0" applyNumberFormat="1" applyFont="1" applyFill="1" applyBorder="1" applyAlignment="1">
      <alignment horizontal="center"/>
    </xf>
    <xf numFmtId="164" fontId="14" fillId="6" borderId="10" xfId="0" applyNumberFormat="1" applyFont="1" applyFill="1" applyBorder="1" applyAlignment="1">
      <alignment horizontal="center" vertical="center" wrapText="1"/>
    </xf>
    <xf numFmtId="169" fontId="3" fillId="6" borderId="12" xfId="0" applyNumberFormat="1" applyFont="1" applyFill="1" applyBorder="1" applyAlignment="1">
      <alignment horizontal="center" vertical="center"/>
    </xf>
    <xf numFmtId="164" fontId="3" fillId="3" borderId="12" xfId="0" applyNumberFormat="1" applyFont="1" applyFill="1" applyBorder="1" applyAlignment="1">
      <alignment horizontal="right" vertical="top"/>
    </xf>
    <xf numFmtId="0" fontId="19" fillId="5" borderId="11" xfId="0" applyFont="1" applyFill="1" applyBorder="1" applyAlignment="1">
      <alignment horizontal="center"/>
    </xf>
    <xf numFmtId="0" fontId="4" fillId="4" borderId="10" xfId="0" applyFont="1" applyFill="1" applyBorder="1" applyAlignment="1">
      <alignment horizontal="center"/>
    </xf>
    <xf numFmtId="2" fontId="4" fillId="4" borderId="10" xfId="0" applyNumberFormat="1" applyFont="1" applyFill="1" applyBorder="1" applyAlignment="1">
      <alignment horizontal="center"/>
    </xf>
    <xf numFmtId="0" fontId="3" fillId="7" borderId="0" xfId="0" applyFont="1" applyFill="1" applyAlignment="1">
      <alignment wrapText="1"/>
    </xf>
    <xf numFmtId="0" fontId="7" fillId="7" borderId="0" xfId="0" applyFont="1" applyFill="1"/>
    <xf numFmtId="0" fontId="3" fillId="2" borderId="23" xfId="0" applyFont="1" applyFill="1" applyBorder="1"/>
    <xf numFmtId="2" fontId="6" fillId="2" borderId="23" xfId="0" applyNumberFormat="1" applyFont="1" applyFill="1" applyBorder="1" applyAlignment="1">
      <alignment vertical="center"/>
    </xf>
    <xf numFmtId="170" fontId="3" fillId="3" borderId="22" xfId="12" applyNumberFormat="1" applyFont="1" applyFill="1" applyBorder="1" applyAlignment="1" applyProtection="1">
      <alignment horizontal="center"/>
      <protection hidden="1"/>
    </xf>
    <xf numFmtId="0" fontId="4" fillId="4" borderId="11" xfId="0" applyFont="1" applyFill="1" applyBorder="1" applyAlignment="1">
      <alignment horizontal="center"/>
    </xf>
    <xf numFmtId="0" fontId="3" fillId="0" borderId="10" xfId="0" applyFont="1" applyBorder="1" applyAlignment="1">
      <alignment horizontal="left" wrapText="1"/>
    </xf>
    <xf numFmtId="0" fontId="4" fillId="0" borderId="10" xfId="0" applyFont="1" applyBorder="1" applyAlignment="1">
      <alignment horizontal="left" wrapText="1"/>
    </xf>
    <xf numFmtId="0" fontId="13" fillId="2" borderId="17" xfId="0" applyFont="1" applyFill="1" applyBorder="1" applyAlignment="1">
      <alignment horizontal="left"/>
    </xf>
    <xf numFmtId="0" fontId="13" fillId="2" borderId="18" xfId="0" applyFont="1" applyFill="1" applyBorder="1" applyAlignment="1">
      <alignment horizontal="left"/>
    </xf>
    <xf numFmtId="2" fontId="13" fillId="2" borderId="1" xfId="0" applyNumberFormat="1" applyFont="1" applyFill="1" applyBorder="1" applyAlignment="1">
      <alignment horizontal="left" vertical="center"/>
    </xf>
    <xf numFmtId="2" fontId="13" fillId="2" borderId="0" xfId="0" applyNumberFormat="1" applyFont="1" applyFill="1" applyAlignment="1">
      <alignment horizontal="left" vertical="center"/>
    </xf>
    <xf numFmtId="0" fontId="3" fillId="0" borderId="25" xfId="1" applyFont="1" applyBorder="1" applyAlignment="1">
      <alignment horizontal="center" vertical="center" wrapText="1"/>
    </xf>
    <xf numFmtId="0" fontId="3" fillId="0" borderId="16" xfId="1" applyFont="1" applyBorder="1" applyAlignment="1">
      <alignment horizontal="center" vertical="center" wrapText="1"/>
    </xf>
    <xf numFmtId="2" fontId="3" fillId="0" borderId="3" xfId="1" applyNumberFormat="1" applyFont="1" applyBorder="1" applyAlignment="1">
      <alignment horizontal="center" vertical="center" wrapText="1"/>
    </xf>
    <xf numFmtId="2" fontId="3" fillId="0" borderId="4" xfId="1" applyNumberFormat="1" applyFont="1" applyBorder="1" applyAlignment="1">
      <alignment horizontal="center" vertical="center" wrapText="1"/>
    </xf>
    <xf numFmtId="2" fontId="3" fillId="0" borderId="5" xfId="1" applyNumberFormat="1" applyFont="1" applyBorder="1" applyAlignment="1">
      <alignment horizontal="center" vertical="center" wrapText="1"/>
    </xf>
    <xf numFmtId="0" fontId="3" fillId="0" borderId="6" xfId="1" applyFont="1" applyBorder="1" applyAlignment="1">
      <alignment horizontal="center" vertical="center"/>
    </xf>
    <xf numFmtId="0" fontId="3" fillId="0" borderId="19" xfId="1" applyFont="1" applyBorder="1" applyAlignment="1">
      <alignment horizontal="center" vertical="center"/>
    </xf>
    <xf numFmtId="0" fontId="3" fillId="0" borderId="7" xfId="1" applyFont="1" applyBorder="1" applyAlignment="1">
      <alignment horizontal="center" vertical="center" wrapText="1"/>
    </xf>
    <xf numFmtId="0" fontId="3" fillId="0" borderId="20" xfId="1" applyFont="1" applyBorder="1" applyAlignment="1">
      <alignment horizontal="center" vertical="center" wrapText="1"/>
    </xf>
    <xf numFmtId="2" fontId="3" fillId="0" borderId="24" xfId="1" applyNumberFormat="1" applyFont="1" applyBorder="1" applyAlignment="1">
      <alignment horizontal="center" vertical="center" wrapText="1"/>
    </xf>
    <xf numFmtId="2" fontId="3" fillId="0" borderId="9" xfId="1" applyNumberFormat="1" applyFont="1" applyBorder="1" applyAlignment="1">
      <alignment horizontal="center" vertical="center" wrapText="1"/>
    </xf>
    <xf numFmtId="164" fontId="3" fillId="0" borderId="7" xfId="1" applyNumberFormat="1" applyFont="1" applyBorder="1" applyAlignment="1">
      <alignment horizontal="right" vertical="center" wrapText="1"/>
    </xf>
    <xf numFmtId="164" fontId="3" fillId="0" borderId="20" xfId="1" applyNumberFormat="1" applyFont="1" applyBorder="1" applyAlignment="1">
      <alignment horizontal="right" vertical="center" wrapText="1"/>
    </xf>
    <xf numFmtId="2" fontId="3" fillId="0" borderId="8" xfId="1" applyNumberFormat="1" applyFont="1" applyBorder="1" applyAlignment="1">
      <alignment horizontal="center" vertical="center" wrapText="1"/>
    </xf>
    <xf numFmtId="2" fontId="3" fillId="0" borderId="21" xfId="1" applyNumberFormat="1" applyFont="1" applyBorder="1" applyAlignment="1">
      <alignment horizontal="center" vertical="center" wrapText="1"/>
    </xf>
  </cellXfs>
  <cellStyles count="13">
    <cellStyle name="Estilo 1" xfId="9" xr:uid="{E03F4A87-1AF2-473E-8E4D-1A184AC4747F}"/>
    <cellStyle name="Euro" xfId="2" xr:uid="{6862C3E4-B6F5-4F8C-8577-C8032AFDD184}"/>
    <cellStyle name="Euro 2" xfId="7" xr:uid="{00A9CF85-8E62-4047-B6AB-F7B016E8EFB9}"/>
    <cellStyle name="Excel Built-in Normal" xfId="1" xr:uid="{6B5CC99E-B361-4F8D-9B1A-A3ACB44EC7CC}"/>
    <cellStyle name="Moeda 2" xfId="4" xr:uid="{9383ED24-FC25-481F-B9BC-01E3D6CCB4FD}"/>
    <cellStyle name="Normal" xfId="0" builtinId="0"/>
    <cellStyle name="Normal 10 2" xfId="6" xr:uid="{4A423267-69DF-4201-8DBD-FD014950C13B}"/>
    <cellStyle name="Normal 2" xfId="3" xr:uid="{AB0F18E0-7919-4813-AAB0-E5B79586BC20}"/>
    <cellStyle name="Normal 2 2" xfId="10" xr:uid="{4B3EEA61-88F8-4210-B211-8295C3BA1A60}"/>
    <cellStyle name="Normal 21" xfId="11" xr:uid="{FAA13596-9D4F-4081-8C83-5ADA2BB5378C}"/>
    <cellStyle name="Normal 3" xfId="8" xr:uid="{0636783B-05A4-440D-8E28-62BC71B9F2D3}"/>
    <cellStyle name="Normal_ICA 04 Mapa Comparativo_1" xfId="12" xr:uid="{8DD55509-A013-4E50-823C-92BC27B70FF6}"/>
    <cellStyle name="Percentagem 2" xfId="5" xr:uid="{16366286-A4C9-44FB-80E4-0B58EEECAB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798778</xdr:colOff>
      <xdr:row>0</xdr:row>
      <xdr:rowOff>45372</xdr:rowOff>
    </xdr:from>
    <xdr:to>
      <xdr:col>7</xdr:col>
      <xdr:colOff>968255</xdr:colOff>
      <xdr:row>3</xdr:row>
      <xdr:rowOff>133350</xdr:rowOff>
    </xdr:to>
    <xdr:pic>
      <xdr:nvPicPr>
        <xdr:cNvPr id="2" name="Imagem 11">
          <a:extLst>
            <a:ext uri="{FF2B5EF4-FFF2-40B4-BE49-F238E27FC236}">
              <a16:creationId xmlns:a16="http://schemas.microsoft.com/office/drawing/2014/main" id="{607E2C93-6E5D-44FB-BA94-DDF816C120B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979" r="2418" b="6939"/>
        <a:stretch/>
      </xdr:blipFill>
      <xdr:spPr>
        <a:xfrm>
          <a:off x="7190053" y="45372"/>
          <a:ext cx="2927917" cy="849978"/>
        </a:xfrm>
        <a:prstGeom prst="rect">
          <a:avLst/>
        </a:prstGeom>
      </xdr:spPr>
    </xdr:pic>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3" name="Text Box 1">
          <a:extLst>
            <a:ext uri="{FF2B5EF4-FFF2-40B4-BE49-F238E27FC236}">
              <a16:creationId xmlns:a16="http://schemas.microsoft.com/office/drawing/2014/main" id="{84A40AE7-9DB5-42DC-864A-CC4A90446F5C}"/>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4" name="Text Box 2">
          <a:extLst>
            <a:ext uri="{FF2B5EF4-FFF2-40B4-BE49-F238E27FC236}">
              <a16:creationId xmlns:a16="http://schemas.microsoft.com/office/drawing/2014/main" id="{0E3225A1-6DF4-4B7C-995D-4C422E0F5C19}"/>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5" name="Text Box 3">
          <a:extLst>
            <a:ext uri="{FF2B5EF4-FFF2-40B4-BE49-F238E27FC236}">
              <a16:creationId xmlns:a16="http://schemas.microsoft.com/office/drawing/2014/main" id="{EFD39372-E95C-4414-AB16-5671645B0369}"/>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6" name="Text Box 4">
          <a:extLst>
            <a:ext uri="{FF2B5EF4-FFF2-40B4-BE49-F238E27FC236}">
              <a16:creationId xmlns:a16="http://schemas.microsoft.com/office/drawing/2014/main" id="{7A850DAC-1027-4247-B27F-F8C5DA18D7D5}"/>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7" name="Text Box 5">
          <a:extLst>
            <a:ext uri="{FF2B5EF4-FFF2-40B4-BE49-F238E27FC236}">
              <a16:creationId xmlns:a16="http://schemas.microsoft.com/office/drawing/2014/main" id="{ACBDDAE7-5147-4E59-BBBF-B9EB8629CBF3}"/>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8" name="Text Box 6">
          <a:extLst>
            <a:ext uri="{FF2B5EF4-FFF2-40B4-BE49-F238E27FC236}">
              <a16:creationId xmlns:a16="http://schemas.microsoft.com/office/drawing/2014/main" id="{5E4F1E8B-B54A-4B6D-A8DE-8F126092AD3A}"/>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9" name="Text Box 7">
          <a:extLst>
            <a:ext uri="{FF2B5EF4-FFF2-40B4-BE49-F238E27FC236}">
              <a16:creationId xmlns:a16="http://schemas.microsoft.com/office/drawing/2014/main" id="{DE3003BF-0A32-44DD-AA9B-1CD760CAAA2E}"/>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10" name="Text Box 8">
          <a:extLst>
            <a:ext uri="{FF2B5EF4-FFF2-40B4-BE49-F238E27FC236}">
              <a16:creationId xmlns:a16="http://schemas.microsoft.com/office/drawing/2014/main" id="{2754910C-8A12-46B1-947C-CCDD20AE7092}"/>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11" name="Text Box 9">
          <a:extLst>
            <a:ext uri="{FF2B5EF4-FFF2-40B4-BE49-F238E27FC236}">
              <a16:creationId xmlns:a16="http://schemas.microsoft.com/office/drawing/2014/main" id="{B25F65E2-8F24-46E3-B1D8-D0435CD13A89}"/>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12" name="Text Box 10">
          <a:extLst>
            <a:ext uri="{FF2B5EF4-FFF2-40B4-BE49-F238E27FC236}">
              <a16:creationId xmlns:a16="http://schemas.microsoft.com/office/drawing/2014/main" id="{04F9594F-A8FD-48CA-8642-488AA269E25C}"/>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13" name="Text Box 11">
          <a:extLst>
            <a:ext uri="{FF2B5EF4-FFF2-40B4-BE49-F238E27FC236}">
              <a16:creationId xmlns:a16="http://schemas.microsoft.com/office/drawing/2014/main" id="{93BCFDAD-C0BB-4A95-AC52-7EDBA1AA93D1}"/>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48</xdr:row>
      <xdr:rowOff>59642</xdr:rowOff>
    </xdr:to>
    <xdr:sp macro="" textlink="">
      <xdr:nvSpPr>
        <xdr:cNvPr id="14" name="Text Box 12">
          <a:extLst>
            <a:ext uri="{FF2B5EF4-FFF2-40B4-BE49-F238E27FC236}">
              <a16:creationId xmlns:a16="http://schemas.microsoft.com/office/drawing/2014/main" id="{12CD718C-9E13-43F6-BDCC-B217B829454C}"/>
            </a:ext>
          </a:extLst>
        </xdr:cNvPr>
        <xdr:cNvSpPr txBox="1">
          <a:spLocks noChangeArrowheads="1"/>
        </xdr:cNvSpPr>
      </xdr:nvSpPr>
      <xdr:spPr bwMode="auto">
        <a:xfrm>
          <a:off x="6242685" y="200000023"/>
          <a:ext cx="3809" cy="22016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0</xdr:colOff>
      <xdr:row>18</xdr:row>
      <xdr:rowOff>137160</xdr:rowOff>
    </xdr:from>
    <xdr:to>
      <xdr:col>3</xdr:col>
      <xdr:colOff>18152</xdr:colOff>
      <xdr:row>49</xdr:row>
      <xdr:rowOff>21542</xdr:rowOff>
    </xdr:to>
    <xdr:sp macro="" textlink="">
      <xdr:nvSpPr>
        <xdr:cNvPr id="15" name="Text Box 13">
          <a:extLst>
            <a:ext uri="{FF2B5EF4-FFF2-40B4-BE49-F238E27FC236}">
              <a16:creationId xmlns:a16="http://schemas.microsoft.com/office/drawing/2014/main" id="{AD51C863-3C94-4C40-B6F8-7BA254B45B2D}"/>
            </a:ext>
          </a:extLst>
        </xdr:cNvPr>
        <xdr:cNvSpPr txBox="1">
          <a:spLocks noChangeArrowheads="1"/>
        </xdr:cNvSpPr>
      </xdr:nvSpPr>
      <xdr:spPr bwMode="auto">
        <a:xfrm>
          <a:off x="6248400" y="6080760"/>
          <a:ext cx="21962" cy="60451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15240</xdr:colOff>
      <xdr:row>19</xdr:row>
      <xdr:rowOff>83820</xdr:rowOff>
    </xdr:from>
    <xdr:to>
      <xdr:col>3</xdr:col>
      <xdr:colOff>37202</xdr:colOff>
      <xdr:row>49</xdr:row>
      <xdr:rowOff>135842</xdr:rowOff>
    </xdr:to>
    <xdr:sp macro="" textlink="">
      <xdr:nvSpPr>
        <xdr:cNvPr id="16" name="Text Box 14">
          <a:extLst>
            <a:ext uri="{FF2B5EF4-FFF2-40B4-BE49-F238E27FC236}">
              <a16:creationId xmlns:a16="http://schemas.microsoft.com/office/drawing/2014/main" id="{9C553B49-5AC7-4EE6-98C3-1A25B6C6EC0A}"/>
            </a:ext>
          </a:extLst>
        </xdr:cNvPr>
        <xdr:cNvSpPr txBox="1">
          <a:spLocks noChangeArrowheads="1"/>
        </xdr:cNvSpPr>
      </xdr:nvSpPr>
      <xdr:spPr bwMode="auto">
        <a:xfrm>
          <a:off x="6263640" y="6202680"/>
          <a:ext cx="21962" cy="60451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3</xdr:col>
      <xdr:colOff>106680</xdr:colOff>
      <xdr:row>20</xdr:row>
      <xdr:rowOff>114300</xdr:rowOff>
    </xdr:from>
    <xdr:to>
      <xdr:col>3</xdr:col>
      <xdr:colOff>132452</xdr:colOff>
      <xdr:row>50</xdr:row>
      <xdr:rowOff>173942</xdr:rowOff>
    </xdr:to>
    <xdr:sp macro="" textlink="">
      <xdr:nvSpPr>
        <xdr:cNvPr id="17" name="Text Box 15">
          <a:extLst>
            <a:ext uri="{FF2B5EF4-FFF2-40B4-BE49-F238E27FC236}">
              <a16:creationId xmlns:a16="http://schemas.microsoft.com/office/drawing/2014/main" id="{D2377DBF-8CB2-402B-8A36-87670F10ACF3}"/>
            </a:ext>
          </a:extLst>
        </xdr:cNvPr>
        <xdr:cNvSpPr txBox="1">
          <a:spLocks noChangeArrowheads="1"/>
        </xdr:cNvSpPr>
      </xdr:nvSpPr>
      <xdr:spPr bwMode="auto">
        <a:xfrm>
          <a:off x="6355080" y="6408420"/>
          <a:ext cx="21962" cy="604515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3" name="Text Box 1">
          <a:extLst>
            <a:ext uri="{FF2B5EF4-FFF2-40B4-BE49-F238E27FC236}">
              <a16:creationId xmlns:a16="http://schemas.microsoft.com/office/drawing/2014/main" id="{5A3E6A7F-6D3C-4FD5-A09C-626E43E71391}"/>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4" name="Text Box 2">
          <a:extLst>
            <a:ext uri="{FF2B5EF4-FFF2-40B4-BE49-F238E27FC236}">
              <a16:creationId xmlns:a16="http://schemas.microsoft.com/office/drawing/2014/main" id="{7446D4DA-BCD3-41B1-B731-D530CDE85748}"/>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5" name="Text Box 3">
          <a:extLst>
            <a:ext uri="{FF2B5EF4-FFF2-40B4-BE49-F238E27FC236}">
              <a16:creationId xmlns:a16="http://schemas.microsoft.com/office/drawing/2014/main" id="{D0477813-7E8B-4379-941A-43685C2397C3}"/>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6" name="Text Box 4">
          <a:extLst>
            <a:ext uri="{FF2B5EF4-FFF2-40B4-BE49-F238E27FC236}">
              <a16:creationId xmlns:a16="http://schemas.microsoft.com/office/drawing/2014/main" id="{885D06F2-A816-4DE8-AECE-3B6F506764F8}"/>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7" name="Text Box 5">
          <a:extLst>
            <a:ext uri="{FF2B5EF4-FFF2-40B4-BE49-F238E27FC236}">
              <a16:creationId xmlns:a16="http://schemas.microsoft.com/office/drawing/2014/main" id="{2B9E3892-09A6-45FC-BAC5-29318E31872D}"/>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8" name="Text Box 6">
          <a:extLst>
            <a:ext uri="{FF2B5EF4-FFF2-40B4-BE49-F238E27FC236}">
              <a16:creationId xmlns:a16="http://schemas.microsoft.com/office/drawing/2014/main" id="{287DD488-EF06-4DD9-A98A-79A4E4D7C177}"/>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29" name="Text Box 7">
          <a:extLst>
            <a:ext uri="{FF2B5EF4-FFF2-40B4-BE49-F238E27FC236}">
              <a16:creationId xmlns:a16="http://schemas.microsoft.com/office/drawing/2014/main" id="{D3306D50-32AF-45B8-9678-70084C36B3AD}"/>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0" name="Text Box 8">
          <a:extLst>
            <a:ext uri="{FF2B5EF4-FFF2-40B4-BE49-F238E27FC236}">
              <a16:creationId xmlns:a16="http://schemas.microsoft.com/office/drawing/2014/main" id="{4383FE44-1962-40B3-842B-232BCDD76C8F}"/>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1" name="Text Box 9">
          <a:extLst>
            <a:ext uri="{FF2B5EF4-FFF2-40B4-BE49-F238E27FC236}">
              <a16:creationId xmlns:a16="http://schemas.microsoft.com/office/drawing/2014/main" id="{3E594045-BB68-4728-88A0-DCA51103AB77}"/>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2" name="Text Box 10">
          <a:extLst>
            <a:ext uri="{FF2B5EF4-FFF2-40B4-BE49-F238E27FC236}">
              <a16:creationId xmlns:a16="http://schemas.microsoft.com/office/drawing/2014/main" id="{EC87DB54-4416-4404-A65F-07100BDCADE3}"/>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3" name="Text Box 11">
          <a:extLst>
            <a:ext uri="{FF2B5EF4-FFF2-40B4-BE49-F238E27FC236}">
              <a16:creationId xmlns:a16="http://schemas.microsoft.com/office/drawing/2014/main" id="{4058DC24-B935-4A45-91F4-B3075606345A}"/>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4" name="Text Box 12">
          <a:extLst>
            <a:ext uri="{FF2B5EF4-FFF2-40B4-BE49-F238E27FC236}">
              <a16:creationId xmlns:a16="http://schemas.microsoft.com/office/drawing/2014/main" id="{B467FCAE-85F8-499E-9F60-F98A76EAEA21}"/>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5" name="Text Box 13">
          <a:extLst>
            <a:ext uri="{FF2B5EF4-FFF2-40B4-BE49-F238E27FC236}">
              <a16:creationId xmlns:a16="http://schemas.microsoft.com/office/drawing/2014/main" id="{0D3455C5-5428-4030-9018-E0740532D634}"/>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6" name="Text Box 14">
          <a:extLst>
            <a:ext uri="{FF2B5EF4-FFF2-40B4-BE49-F238E27FC236}">
              <a16:creationId xmlns:a16="http://schemas.microsoft.com/office/drawing/2014/main" id="{7DC7D471-3024-4E3B-A87B-55A533A869B6}"/>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7" name="Text Box 15">
          <a:extLst>
            <a:ext uri="{FF2B5EF4-FFF2-40B4-BE49-F238E27FC236}">
              <a16:creationId xmlns:a16="http://schemas.microsoft.com/office/drawing/2014/main" id="{F574DC19-5D61-4B9E-9D51-ED9C9DD9D4C3}"/>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8" name="Text Box 16">
          <a:extLst>
            <a:ext uri="{FF2B5EF4-FFF2-40B4-BE49-F238E27FC236}">
              <a16:creationId xmlns:a16="http://schemas.microsoft.com/office/drawing/2014/main" id="{0D66BAE5-1D30-406E-9BB5-2F2E7AC79D0E}"/>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39" name="Text Box 17">
          <a:extLst>
            <a:ext uri="{FF2B5EF4-FFF2-40B4-BE49-F238E27FC236}">
              <a16:creationId xmlns:a16="http://schemas.microsoft.com/office/drawing/2014/main" id="{767DBBD3-E097-4A2F-95D3-0682762CCFAE}"/>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40" name="Text Box 18">
          <a:extLst>
            <a:ext uri="{FF2B5EF4-FFF2-40B4-BE49-F238E27FC236}">
              <a16:creationId xmlns:a16="http://schemas.microsoft.com/office/drawing/2014/main" id="{8E346E78-FC7F-44C3-94C2-2903A49778E2}"/>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41" name="Text Box 19">
          <a:extLst>
            <a:ext uri="{FF2B5EF4-FFF2-40B4-BE49-F238E27FC236}">
              <a16:creationId xmlns:a16="http://schemas.microsoft.com/office/drawing/2014/main" id="{AE1DD7EE-2595-464C-BE44-E2674C36BB94}"/>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18</xdr:row>
      <xdr:rowOff>0</xdr:rowOff>
    </xdr:from>
    <xdr:to>
      <xdr:col>3</xdr:col>
      <xdr:colOff>18152</xdr:colOff>
      <xdr:row>20</xdr:row>
      <xdr:rowOff>22508</xdr:rowOff>
    </xdr:to>
    <xdr:sp macro="" textlink="">
      <xdr:nvSpPr>
        <xdr:cNvPr id="42" name="Text Box 20">
          <a:extLst>
            <a:ext uri="{FF2B5EF4-FFF2-40B4-BE49-F238E27FC236}">
              <a16:creationId xmlns:a16="http://schemas.microsoft.com/office/drawing/2014/main" id="{F739EEC1-C3FB-4440-9983-8282610C512D}"/>
            </a:ext>
          </a:extLst>
        </xdr:cNvPr>
        <xdr:cNvSpPr txBox="1">
          <a:spLocks noChangeArrowheads="1"/>
        </xdr:cNvSpPr>
      </xdr:nvSpPr>
      <xdr:spPr bwMode="auto">
        <a:xfrm>
          <a:off x="6242685" y="200000023"/>
          <a:ext cx="3809" cy="3387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8785860</xdr:colOff>
      <xdr:row>69</xdr:row>
      <xdr:rowOff>0</xdr:rowOff>
    </xdr:from>
    <xdr:ext cx="18152" cy="5668111"/>
    <xdr:sp macro="" textlink="">
      <xdr:nvSpPr>
        <xdr:cNvPr id="43" name="Text Box 1">
          <a:extLst>
            <a:ext uri="{FF2B5EF4-FFF2-40B4-BE49-F238E27FC236}">
              <a16:creationId xmlns:a16="http://schemas.microsoft.com/office/drawing/2014/main" id="{B1D261FF-008A-4C08-9CDC-2C2102C545AB}"/>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4" name="Text Box 2">
          <a:extLst>
            <a:ext uri="{FF2B5EF4-FFF2-40B4-BE49-F238E27FC236}">
              <a16:creationId xmlns:a16="http://schemas.microsoft.com/office/drawing/2014/main" id="{C88EC33E-03FD-40B7-9C9E-69855C579F75}"/>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5" name="Text Box 3">
          <a:extLst>
            <a:ext uri="{FF2B5EF4-FFF2-40B4-BE49-F238E27FC236}">
              <a16:creationId xmlns:a16="http://schemas.microsoft.com/office/drawing/2014/main" id="{143915F7-53C6-437A-86AB-3C48090718CA}"/>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6" name="Text Box 4">
          <a:extLst>
            <a:ext uri="{FF2B5EF4-FFF2-40B4-BE49-F238E27FC236}">
              <a16:creationId xmlns:a16="http://schemas.microsoft.com/office/drawing/2014/main" id="{A2EE3684-0362-4152-8B03-3C2AA00C8EA6}"/>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7" name="Text Box 5">
          <a:extLst>
            <a:ext uri="{FF2B5EF4-FFF2-40B4-BE49-F238E27FC236}">
              <a16:creationId xmlns:a16="http://schemas.microsoft.com/office/drawing/2014/main" id="{FF0BE7C8-D105-435A-8033-9F33E3F38CC3}"/>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8" name="Text Box 6">
          <a:extLst>
            <a:ext uri="{FF2B5EF4-FFF2-40B4-BE49-F238E27FC236}">
              <a16:creationId xmlns:a16="http://schemas.microsoft.com/office/drawing/2014/main" id="{C886FE7B-9A90-45FB-A27B-9B3597D4CC22}"/>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49" name="Text Box 7">
          <a:extLst>
            <a:ext uri="{FF2B5EF4-FFF2-40B4-BE49-F238E27FC236}">
              <a16:creationId xmlns:a16="http://schemas.microsoft.com/office/drawing/2014/main" id="{423BA478-42F9-4A07-BE3D-E5613FE3A356}"/>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50" name="Text Box 8">
          <a:extLst>
            <a:ext uri="{FF2B5EF4-FFF2-40B4-BE49-F238E27FC236}">
              <a16:creationId xmlns:a16="http://schemas.microsoft.com/office/drawing/2014/main" id="{18608C4A-1C93-40C6-BE59-EC714B4318EB}"/>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51" name="Text Box 9">
          <a:extLst>
            <a:ext uri="{FF2B5EF4-FFF2-40B4-BE49-F238E27FC236}">
              <a16:creationId xmlns:a16="http://schemas.microsoft.com/office/drawing/2014/main" id="{D7604073-AE39-4F62-A39C-75B54FC610C5}"/>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52" name="Text Box 10">
          <a:extLst>
            <a:ext uri="{FF2B5EF4-FFF2-40B4-BE49-F238E27FC236}">
              <a16:creationId xmlns:a16="http://schemas.microsoft.com/office/drawing/2014/main" id="{6DB41C0E-34E0-4225-9487-B5914DB37B2C}"/>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5668111"/>
    <xdr:sp macro="" textlink="">
      <xdr:nvSpPr>
        <xdr:cNvPr id="53" name="Text Box 11">
          <a:extLst>
            <a:ext uri="{FF2B5EF4-FFF2-40B4-BE49-F238E27FC236}">
              <a16:creationId xmlns:a16="http://schemas.microsoft.com/office/drawing/2014/main" id="{FB460293-4D57-4F43-BBEE-4B9EEBA39C91}"/>
            </a:ext>
          </a:extLst>
        </xdr:cNvPr>
        <xdr:cNvSpPr txBox="1">
          <a:spLocks noChangeArrowheads="1"/>
        </xdr:cNvSpPr>
      </xdr:nvSpPr>
      <xdr:spPr bwMode="auto">
        <a:xfrm>
          <a:off x="5899785" y="1804035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5180702</xdr:colOff>
      <xdr:row>69</xdr:row>
      <xdr:rowOff>0</xdr:rowOff>
    </xdr:from>
    <xdr:ext cx="45719" cy="5668111"/>
    <xdr:sp macro="" textlink="">
      <xdr:nvSpPr>
        <xdr:cNvPr id="54" name="Text Box 12">
          <a:extLst>
            <a:ext uri="{FF2B5EF4-FFF2-40B4-BE49-F238E27FC236}">
              <a16:creationId xmlns:a16="http://schemas.microsoft.com/office/drawing/2014/main" id="{9628D27D-EB63-4FED-86C1-7499D7090B7B}"/>
            </a:ext>
          </a:extLst>
        </xdr:cNvPr>
        <xdr:cNvSpPr txBox="1">
          <a:spLocks noChangeArrowheads="1"/>
        </xdr:cNvSpPr>
      </xdr:nvSpPr>
      <xdr:spPr bwMode="auto">
        <a:xfrm>
          <a:off x="6139771" y="28358223"/>
          <a:ext cx="45719"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4</xdr:col>
      <xdr:colOff>131</xdr:colOff>
      <xdr:row>76</xdr:row>
      <xdr:rowOff>0</xdr:rowOff>
    </xdr:from>
    <xdr:ext cx="18152" cy="5668111"/>
    <xdr:sp macro="" textlink="">
      <xdr:nvSpPr>
        <xdr:cNvPr id="55" name="Text Box 13">
          <a:extLst>
            <a:ext uri="{FF2B5EF4-FFF2-40B4-BE49-F238E27FC236}">
              <a16:creationId xmlns:a16="http://schemas.microsoft.com/office/drawing/2014/main" id="{FF16E1BD-DCFD-4017-95A7-6BE0D7EC744E}"/>
            </a:ext>
          </a:extLst>
        </xdr:cNvPr>
        <xdr:cNvSpPr txBox="1">
          <a:spLocks noChangeArrowheads="1"/>
        </xdr:cNvSpPr>
      </xdr:nvSpPr>
      <xdr:spPr bwMode="auto">
        <a:xfrm>
          <a:off x="6637151" y="23576280"/>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58" name="Text Box 1">
          <a:extLst>
            <a:ext uri="{FF2B5EF4-FFF2-40B4-BE49-F238E27FC236}">
              <a16:creationId xmlns:a16="http://schemas.microsoft.com/office/drawing/2014/main" id="{ABA948A6-DAA0-4A03-87C8-7E2D38DD3B75}"/>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59" name="Text Box 2">
          <a:extLst>
            <a:ext uri="{FF2B5EF4-FFF2-40B4-BE49-F238E27FC236}">
              <a16:creationId xmlns:a16="http://schemas.microsoft.com/office/drawing/2014/main" id="{F7141255-3101-43F5-86A0-2A1D067FF224}"/>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0" name="Text Box 3">
          <a:extLst>
            <a:ext uri="{FF2B5EF4-FFF2-40B4-BE49-F238E27FC236}">
              <a16:creationId xmlns:a16="http://schemas.microsoft.com/office/drawing/2014/main" id="{20101313-2DBB-4A70-B57B-717EF6132373}"/>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1" name="Text Box 4">
          <a:extLst>
            <a:ext uri="{FF2B5EF4-FFF2-40B4-BE49-F238E27FC236}">
              <a16:creationId xmlns:a16="http://schemas.microsoft.com/office/drawing/2014/main" id="{B7E1A232-B949-418C-93D9-000000020ZZ2}"/>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2" name="Text Box 5">
          <a:extLst>
            <a:ext uri="{FF2B5EF4-FFF2-40B4-BE49-F238E27FC236}">
              <a16:creationId xmlns:a16="http://schemas.microsoft.com/office/drawing/2014/main" id="{1AB48D1A-60CE-4F99-A0C5-128AB89B06E8}"/>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3" name="Text Box 6">
          <a:extLst>
            <a:ext uri="{FF2B5EF4-FFF2-40B4-BE49-F238E27FC236}">
              <a16:creationId xmlns:a16="http://schemas.microsoft.com/office/drawing/2014/main" id="{A38265F7-ED18-414F-99E3-68E421B03C60}"/>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4" name="Text Box 7">
          <a:extLst>
            <a:ext uri="{FF2B5EF4-FFF2-40B4-BE49-F238E27FC236}">
              <a16:creationId xmlns:a16="http://schemas.microsoft.com/office/drawing/2014/main" id="{515B0559-BE85-4C13-AAD7-892A2DA71072}"/>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5" name="Text Box 8">
          <a:extLst>
            <a:ext uri="{FF2B5EF4-FFF2-40B4-BE49-F238E27FC236}">
              <a16:creationId xmlns:a16="http://schemas.microsoft.com/office/drawing/2014/main" id="{4CEAED72-DAB6-4375-A025-1201E7BDF96F}"/>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6" name="Text Box 9">
          <a:extLst>
            <a:ext uri="{FF2B5EF4-FFF2-40B4-BE49-F238E27FC236}">
              <a16:creationId xmlns:a16="http://schemas.microsoft.com/office/drawing/2014/main" id="{14DBBF42-80AC-457D-9CC0-F379A5279946}"/>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7" name="Text Box 10">
          <a:extLst>
            <a:ext uri="{FF2B5EF4-FFF2-40B4-BE49-F238E27FC236}">
              <a16:creationId xmlns:a16="http://schemas.microsoft.com/office/drawing/2014/main" id="{9DD1F9CE-88DD-419C-9FCC-27C9591209DB}"/>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8" name="Text Box 11">
          <a:extLst>
            <a:ext uri="{FF2B5EF4-FFF2-40B4-BE49-F238E27FC236}">
              <a16:creationId xmlns:a16="http://schemas.microsoft.com/office/drawing/2014/main" id="{6B49F441-C097-4DFA-9223-08A066AE58B9}"/>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69" name="Text Box 12">
          <a:extLst>
            <a:ext uri="{FF2B5EF4-FFF2-40B4-BE49-F238E27FC236}">
              <a16:creationId xmlns:a16="http://schemas.microsoft.com/office/drawing/2014/main" id="{A507B4D3-0C78-4AD1-A589-96A2CBC7111C}"/>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0" name="Text Box 13">
          <a:extLst>
            <a:ext uri="{FF2B5EF4-FFF2-40B4-BE49-F238E27FC236}">
              <a16:creationId xmlns:a16="http://schemas.microsoft.com/office/drawing/2014/main" id="{76762CBC-9C62-4EFC-8914-C48D3E5CCD76}"/>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1" name="Text Box 14">
          <a:extLst>
            <a:ext uri="{FF2B5EF4-FFF2-40B4-BE49-F238E27FC236}">
              <a16:creationId xmlns:a16="http://schemas.microsoft.com/office/drawing/2014/main" id="{628D6314-CABF-405D-BC15-1F9C59FFF19E}"/>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2" name="Text Box 15">
          <a:extLst>
            <a:ext uri="{FF2B5EF4-FFF2-40B4-BE49-F238E27FC236}">
              <a16:creationId xmlns:a16="http://schemas.microsoft.com/office/drawing/2014/main" id="{29CA7B0E-052E-4C76-9374-68F82F2754F8}"/>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3" name="Text Box 16">
          <a:extLst>
            <a:ext uri="{FF2B5EF4-FFF2-40B4-BE49-F238E27FC236}">
              <a16:creationId xmlns:a16="http://schemas.microsoft.com/office/drawing/2014/main" id="{BF9D9C7A-CFF5-42ED-93E8-E45DEA0B9822}"/>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4" name="Text Box 17">
          <a:extLst>
            <a:ext uri="{FF2B5EF4-FFF2-40B4-BE49-F238E27FC236}">
              <a16:creationId xmlns:a16="http://schemas.microsoft.com/office/drawing/2014/main" id="{0397BE08-C64E-4B22-843D-813A61D20300}"/>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5" name="Text Box 18">
          <a:extLst>
            <a:ext uri="{FF2B5EF4-FFF2-40B4-BE49-F238E27FC236}">
              <a16:creationId xmlns:a16="http://schemas.microsoft.com/office/drawing/2014/main" id="{84A16EC8-6052-4DC8-A4DF-01554AAD8576}"/>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6" name="Text Box 19">
          <a:extLst>
            <a:ext uri="{FF2B5EF4-FFF2-40B4-BE49-F238E27FC236}">
              <a16:creationId xmlns:a16="http://schemas.microsoft.com/office/drawing/2014/main" id="{3583DE5D-E800-45D0-B155-B7DAD04B78E5}"/>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69</xdr:row>
      <xdr:rowOff>0</xdr:rowOff>
    </xdr:from>
    <xdr:ext cx="18152" cy="342548"/>
    <xdr:sp macro="" textlink="">
      <xdr:nvSpPr>
        <xdr:cNvPr id="77" name="Text Box 20">
          <a:extLst>
            <a:ext uri="{FF2B5EF4-FFF2-40B4-BE49-F238E27FC236}">
              <a16:creationId xmlns:a16="http://schemas.microsoft.com/office/drawing/2014/main" id="{3F88765A-1F95-4DDC-A8C6-F7ABAE9F58B3}"/>
            </a:ext>
          </a:extLst>
        </xdr:cNvPr>
        <xdr:cNvSpPr txBox="1">
          <a:spLocks noChangeArrowheads="1"/>
        </xdr:cNvSpPr>
      </xdr:nvSpPr>
      <xdr:spPr bwMode="auto">
        <a:xfrm>
          <a:off x="5899785" y="1804035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798778</xdr:colOff>
      <xdr:row>0</xdr:row>
      <xdr:rowOff>45372</xdr:rowOff>
    </xdr:from>
    <xdr:to>
      <xdr:col>7</xdr:col>
      <xdr:colOff>905390</xdr:colOff>
      <xdr:row>3</xdr:row>
      <xdr:rowOff>129540</xdr:rowOff>
    </xdr:to>
    <xdr:pic>
      <xdr:nvPicPr>
        <xdr:cNvPr id="2" name="Imagem 11">
          <a:extLst>
            <a:ext uri="{FF2B5EF4-FFF2-40B4-BE49-F238E27FC236}">
              <a16:creationId xmlns:a16="http://schemas.microsoft.com/office/drawing/2014/main" id="{5FA34944-0A59-47B9-BF57-09326429486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8979" r="2418" b="6939"/>
        <a:stretch/>
      </xdr:blipFill>
      <xdr:spPr>
        <a:xfrm>
          <a:off x="7256728" y="45372"/>
          <a:ext cx="2935537" cy="855693"/>
        </a:xfrm>
        <a:prstGeom prst="rect">
          <a:avLst/>
        </a:prstGeom>
      </xdr:spPr>
    </xdr:pic>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3" name="Text Box 1">
          <a:extLst>
            <a:ext uri="{FF2B5EF4-FFF2-40B4-BE49-F238E27FC236}">
              <a16:creationId xmlns:a16="http://schemas.microsoft.com/office/drawing/2014/main" id="{B8B5CE8E-9D19-4F58-A84A-4188CF4D0C8B}"/>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4" name="Text Box 2">
          <a:extLst>
            <a:ext uri="{FF2B5EF4-FFF2-40B4-BE49-F238E27FC236}">
              <a16:creationId xmlns:a16="http://schemas.microsoft.com/office/drawing/2014/main" id="{C6762B25-D79B-443B-ACCF-0EACB34E4A73}"/>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5" name="Text Box 3">
          <a:extLst>
            <a:ext uri="{FF2B5EF4-FFF2-40B4-BE49-F238E27FC236}">
              <a16:creationId xmlns:a16="http://schemas.microsoft.com/office/drawing/2014/main" id="{785E5C4D-ED12-469C-816F-9D0C4FFA93D2}"/>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6" name="Text Box 4">
          <a:extLst>
            <a:ext uri="{FF2B5EF4-FFF2-40B4-BE49-F238E27FC236}">
              <a16:creationId xmlns:a16="http://schemas.microsoft.com/office/drawing/2014/main" id="{F81BAEB1-11D2-49F9-A1C2-C46A0FFD6EFC}"/>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7" name="Text Box 5">
          <a:extLst>
            <a:ext uri="{FF2B5EF4-FFF2-40B4-BE49-F238E27FC236}">
              <a16:creationId xmlns:a16="http://schemas.microsoft.com/office/drawing/2014/main" id="{B1BE66D1-C310-4060-9657-CAD1890CED20}"/>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8" name="Text Box 6">
          <a:extLst>
            <a:ext uri="{FF2B5EF4-FFF2-40B4-BE49-F238E27FC236}">
              <a16:creationId xmlns:a16="http://schemas.microsoft.com/office/drawing/2014/main" id="{87E9C69B-A55B-4048-9430-56FF4A085689}"/>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9" name="Text Box 7">
          <a:extLst>
            <a:ext uri="{FF2B5EF4-FFF2-40B4-BE49-F238E27FC236}">
              <a16:creationId xmlns:a16="http://schemas.microsoft.com/office/drawing/2014/main" id="{ACC7B25E-CEEF-4010-8F5D-68F462714A63}"/>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0" name="Text Box 8">
          <a:extLst>
            <a:ext uri="{FF2B5EF4-FFF2-40B4-BE49-F238E27FC236}">
              <a16:creationId xmlns:a16="http://schemas.microsoft.com/office/drawing/2014/main" id="{D77BC31B-B4E8-47B7-BC08-3116BCF9F223}"/>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1" name="Text Box 9">
          <a:extLst>
            <a:ext uri="{FF2B5EF4-FFF2-40B4-BE49-F238E27FC236}">
              <a16:creationId xmlns:a16="http://schemas.microsoft.com/office/drawing/2014/main" id="{DDFFB7FD-9E8F-44F3-8335-1921377241DF}"/>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2" name="Text Box 10">
          <a:extLst>
            <a:ext uri="{FF2B5EF4-FFF2-40B4-BE49-F238E27FC236}">
              <a16:creationId xmlns:a16="http://schemas.microsoft.com/office/drawing/2014/main" id="{E0A2F548-1D15-44E0-B578-B572C67DDF6D}"/>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3" name="Text Box 11">
          <a:extLst>
            <a:ext uri="{FF2B5EF4-FFF2-40B4-BE49-F238E27FC236}">
              <a16:creationId xmlns:a16="http://schemas.microsoft.com/office/drawing/2014/main" id="{85944373-8B95-4226-86C0-1B00887F7B52}"/>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4" name="Text Box 12">
          <a:extLst>
            <a:ext uri="{FF2B5EF4-FFF2-40B4-BE49-F238E27FC236}">
              <a16:creationId xmlns:a16="http://schemas.microsoft.com/office/drawing/2014/main" id="{20A7F7FA-A3AF-4529-A14D-1B613BFB2B6F}"/>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5" name="Text Box 13">
          <a:extLst>
            <a:ext uri="{FF2B5EF4-FFF2-40B4-BE49-F238E27FC236}">
              <a16:creationId xmlns:a16="http://schemas.microsoft.com/office/drawing/2014/main" id="{28AAC89B-6145-4019-A554-CB2CB72DFDD8}"/>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6" name="Text Box 14">
          <a:extLst>
            <a:ext uri="{FF2B5EF4-FFF2-40B4-BE49-F238E27FC236}">
              <a16:creationId xmlns:a16="http://schemas.microsoft.com/office/drawing/2014/main" id="{010DA100-521E-44F5-91C2-7CB30E9421C6}"/>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7" name="Text Box 15">
          <a:extLst>
            <a:ext uri="{FF2B5EF4-FFF2-40B4-BE49-F238E27FC236}">
              <a16:creationId xmlns:a16="http://schemas.microsoft.com/office/drawing/2014/main" id="{B1070FC6-281B-4275-A369-4443132EB767}"/>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8" name="Text Box 16">
          <a:extLst>
            <a:ext uri="{FF2B5EF4-FFF2-40B4-BE49-F238E27FC236}">
              <a16:creationId xmlns:a16="http://schemas.microsoft.com/office/drawing/2014/main" id="{C4AD52F4-8940-427C-9B9C-D523E8C3E974}"/>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19" name="Text Box 17">
          <a:extLst>
            <a:ext uri="{FF2B5EF4-FFF2-40B4-BE49-F238E27FC236}">
              <a16:creationId xmlns:a16="http://schemas.microsoft.com/office/drawing/2014/main" id="{CFD0A565-306D-4047-90B7-62A78873EC36}"/>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20" name="Text Box 18">
          <a:extLst>
            <a:ext uri="{FF2B5EF4-FFF2-40B4-BE49-F238E27FC236}">
              <a16:creationId xmlns:a16="http://schemas.microsoft.com/office/drawing/2014/main" id="{26E55E53-BC03-4F84-870B-E7953DC9F8A3}"/>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21" name="Text Box 19">
          <a:extLst>
            <a:ext uri="{FF2B5EF4-FFF2-40B4-BE49-F238E27FC236}">
              <a16:creationId xmlns:a16="http://schemas.microsoft.com/office/drawing/2014/main" id="{2B353FDA-066E-4C3B-8FA9-AF720ECEB2E7}"/>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43</xdr:row>
      <xdr:rowOff>135925</xdr:rowOff>
    </xdr:to>
    <xdr:sp macro="" textlink="">
      <xdr:nvSpPr>
        <xdr:cNvPr id="22" name="Text Box 20">
          <a:extLst>
            <a:ext uri="{FF2B5EF4-FFF2-40B4-BE49-F238E27FC236}">
              <a16:creationId xmlns:a16="http://schemas.microsoft.com/office/drawing/2014/main" id="{E221BCF9-7698-4DC0-8F38-79E9AF0A7739}"/>
            </a:ext>
          </a:extLst>
        </xdr:cNvPr>
        <xdr:cNvSpPr txBox="1">
          <a:spLocks noChangeArrowheads="1"/>
        </xdr:cNvSpPr>
      </xdr:nvSpPr>
      <xdr:spPr bwMode="auto">
        <a:xfrm>
          <a:off x="6080760" y="6048375"/>
          <a:ext cx="18152" cy="56699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3" name="Text Box 1">
          <a:extLst>
            <a:ext uri="{FF2B5EF4-FFF2-40B4-BE49-F238E27FC236}">
              <a16:creationId xmlns:a16="http://schemas.microsoft.com/office/drawing/2014/main" id="{691B8A03-3E5B-45A9-8AB5-C89D89B129F9}"/>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4" name="Text Box 2">
          <a:extLst>
            <a:ext uri="{FF2B5EF4-FFF2-40B4-BE49-F238E27FC236}">
              <a16:creationId xmlns:a16="http://schemas.microsoft.com/office/drawing/2014/main" id="{8010B581-945E-489D-ABDE-008CB9506B19}"/>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5" name="Text Box 3">
          <a:extLst>
            <a:ext uri="{FF2B5EF4-FFF2-40B4-BE49-F238E27FC236}">
              <a16:creationId xmlns:a16="http://schemas.microsoft.com/office/drawing/2014/main" id="{EA6BC96C-1FE6-423C-8B04-FDC372B0E994}"/>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6" name="Text Box 4">
          <a:extLst>
            <a:ext uri="{FF2B5EF4-FFF2-40B4-BE49-F238E27FC236}">
              <a16:creationId xmlns:a16="http://schemas.microsoft.com/office/drawing/2014/main" id="{5B3B8BCE-BC65-4086-AB75-2F91889DAC8F}"/>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7" name="Text Box 5">
          <a:extLst>
            <a:ext uri="{FF2B5EF4-FFF2-40B4-BE49-F238E27FC236}">
              <a16:creationId xmlns:a16="http://schemas.microsoft.com/office/drawing/2014/main" id="{F29D5402-EF4C-4A99-BA44-817921B96769}"/>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8" name="Text Box 6">
          <a:extLst>
            <a:ext uri="{FF2B5EF4-FFF2-40B4-BE49-F238E27FC236}">
              <a16:creationId xmlns:a16="http://schemas.microsoft.com/office/drawing/2014/main" id="{F7AD438B-58F5-4050-8235-8DEA66575E4A}"/>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29" name="Text Box 7">
          <a:extLst>
            <a:ext uri="{FF2B5EF4-FFF2-40B4-BE49-F238E27FC236}">
              <a16:creationId xmlns:a16="http://schemas.microsoft.com/office/drawing/2014/main" id="{C5CA52B9-527D-46AB-8DB4-E14C2D46A068}"/>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0" name="Text Box 8">
          <a:extLst>
            <a:ext uri="{FF2B5EF4-FFF2-40B4-BE49-F238E27FC236}">
              <a16:creationId xmlns:a16="http://schemas.microsoft.com/office/drawing/2014/main" id="{87EFD90E-5DD7-47FE-9C73-D79451B13205}"/>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1" name="Text Box 9">
          <a:extLst>
            <a:ext uri="{FF2B5EF4-FFF2-40B4-BE49-F238E27FC236}">
              <a16:creationId xmlns:a16="http://schemas.microsoft.com/office/drawing/2014/main" id="{20082FC6-20E8-471A-978B-40DAB28BDB44}"/>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2" name="Text Box 10">
          <a:extLst>
            <a:ext uri="{FF2B5EF4-FFF2-40B4-BE49-F238E27FC236}">
              <a16:creationId xmlns:a16="http://schemas.microsoft.com/office/drawing/2014/main" id="{8B15A7A4-2B0A-4255-9A3F-3E5796EBA5E6}"/>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3" name="Text Box 11">
          <a:extLst>
            <a:ext uri="{FF2B5EF4-FFF2-40B4-BE49-F238E27FC236}">
              <a16:creationId xmlns:a16="http://schemas.microsoft.com/office/drawing/2014/main" id="{4D0E2D7D-5840-421A-9CE5-66BCBAE2F8DE}"/>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4" name="Text Box 12">
          <a:extLst>
            <a:ext uri="{FF2B5EF4-FFF2-40B4-BE49-F238E27FC236}">
              <a16:creationId xmlns:a16="http://schemas.microsoft.com/office/drawing/2014/main" id="{97EC7B34-AD42-40D3-AAFD-79A76CD63FEE}"/>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5" name="Text Box 13">
          <a:extLst>
            <a:ext uri="{FF2B5EF4-FFF2-40B4-BE49-F238E27FC236}">
              <a16:creationId xmlns:a16="http://schemas.microsoft.com/office/drawing/2014/main" id="{FBE307EE-36DF-417B-9F61-F4A63F01FFF3}"/>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6" name="Text Box 14">
          <a:extLst>
            <a:ext uri="{FF2B5EF4-FFF2-40B4-BE49-F238E27FC236}">
              <a16:creationId xmlns:a16="http://schemas.microsoft.com/office/drawing/2014/main" id="{877B95F9-68FD-4170-AF93-41F885E89D9B}"/>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7" name="Text Box 15">
          <a:extLst>
            <a:ext uri="{FF2B5EF4-FFF2-40B4-BE49-F238E27FC236}">
              <a16:creationId xmlns:a16="http://schemas.microsoft.com/office/drawing/2014/main" id="{3F3BF3AE-0BAD-44FA-9203-21A9571F6B8C}"/>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8" name="Text Box 16">
          <a:extLst>
            <a:ext uri="{FF2B5EF4-FFF2-40B4-BE49-F238E27FC236}">
              <a16:creationId xmlns:a16="http://schemas.microsoft.com/office/drawing/2014/main" id="{100A82FB-6394-4B8F-AE77-A945289C7542}"/>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39" name="Text Box 17">
          <a:extLst>
            <a:ext uri="{FF2B5EF4-FFF2-40B4-BE49-F238E27FC236}">
              <a16:creationId xmlns:a16="http://schemas.microsoft.com/office/drawing/2014/main" id="{3C995974-098A-4196-926C-B22CE0C40CCC}"/>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40" name="Text Box 18">
          <a:extLst>
            <a:ext uri="{FF2B5EF4-FFF2-40B4-BE49-F238E27FC236}">
              <a16:creationId xmlns:a16="http://schemas.microsoft.com/office/drawing/2014/main" id="{B897737C-4589-4386-BDE6-79CA101C8B02}"/>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41" name="Text Box 19">
          <a:extLst>
            <a:ext uri="{FF2B5EF4-FFF2-40B4-BE49-F238E27FC236}">
              <a16:creationId xmlns:a16="http://schemas.microsoft.com/office/drawing/2014/main" id="{89A3CFD6-6848-4C1D-A6A9-47C31C24B5ED}"/>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8785860</xdr:colOff>
      <xdr:row>9</xdr:row>
      <xdr:rowOff>0</xdr:rowOff>
    </xdr:from>
    <xdr:to>
      <xdr:col>3</xdr:col>
      <xdr:colOff>21962</xdr:colOff>
      <xdr:row>11</xdr:row>
      <xdr:rowOff>18698</xdr:rowOff>
    </xdr:to>
    <xdr:sp macro="" textlink="">
      <xdr:nvSpPr>
        <xdr:cNvPr id="42" name="Text Box 20">
          <a:extLst>
            <a:ext uri="{FF2B5EF4-FFF2-40B4-BE49-F238E27FC236}">
              <a16:creationId xmlns:a16="http://schemas.microsoft.com/office/drawing/2014/main" id="{57C6665A-F415-4598-A195-9729CD7C346B}"/>
            </a:ext>
          </a:extLst>
        </xdr:cNvPr>
        <xdr:cNvSpPr txBox="1">
          <a:spLocks noChangeArrowheads="1"/>
        </xdr:cNvSpPr>
      </xdr:nvSpPr>
      <xdr:spPr bwMode="auto">
        <a:xfrm>
          <a:off x="6080760" y="60483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2</xdr:col>
      <xdr:colOff>8785860</xdr:colOff>
      <xdr:row>14</xdr:row>
      <xdr:rowOff>0</xdr:rowOff>
    </xdr:from>
    <xdr:ext cx="18152" cy="5668111"/>
    <xdr:sp macro="" textlink="">
      <xdr:nvSpPr>
        <xdr:cNvPr id="43" name="Text Box 1">
          <a:extLst>
            <a:ext uri="{FF2B5EF4-FFF2-40B4-BE49-F238E27FC236}">
              <a16:creationId xmlns:a16="http://schemas.microsoft.com/office/drawing/2014/main" id="{EC99B670-D442-4171-BA5E-1D3B08FC5FAD}"/>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4" name="Text Box 2">
          <a:extLst>
            <a:ext uri="{FF2B5EF4-FFF2-40B4-BE49-F238E27FC236}">
              <a16:creationId xmlns:a16="http://schemas.microsoft.com/office/drawing/2014/main" id="{EDC6189B-4DAA-4E5F-B797-D332F7C26DC1}"/>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5" name="Text Box 3">
          <a:extLst>
            <a:ext uri="{FF2B5EF4-FFF2-40B4-BE49-F238E27FC236}">
              <a16:creationId xmlns:a16="http://schemas.microsoft.com/office/drawing/2014/main" id="{158C0CE6-6B5B-4D93-9F49-179C03819E14}"/>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6" name="Text Box 4">
          <a:extLst>
            <a:ext uri="{FF2B5EF4-FFF2-40B4-BE49-F238E27FC236}">
              <a16:creationId xmlns:a16="http://schemas.microsoft.com/office/drawing/2014/main" id="{ADB8B09B-737F-4000-A41E-2C3FA7AE209B}"/>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7" name="Text Box 5">
          <a:extLst>
            <a:ext uri="{FF2B5EF4-FFF2-40B4-BE49-F238E27FC236}">
              <a16:creationId xmlns:a16="http://schemas.microsoft.com/office/drawing/2014/main" id="{BFD070EC-BF1B-4A76-BDE4-FCE3E1BBD082}"/>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8" name="Text Box 6">
          <a:extLst>
            <a:ext uri="{FF2B5EF4-FFF2-40B4-BE49-F238E27FC236}">
              <a16:creationId xmlns:a16="http://schemas.microsoft.com/office/drawing/2014/main" id="{772D3C40-0486-4049-BED7-49C5F82703E1}"/>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49" name="Text Box 7">
          <a:extLst>
            <a:ext uri="{FF2B5EF4-FFF2-40B4-BE49-F238E27FC236}">
              <a16:creationId xmlns:a16="http://schemas.microsoft.com/office/drawing/2014/main" id="{09CB714D-0B2E-4A43-B2A2-984BAFE991A6}"/>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50" name="Text Box 8">
          <a:extLst>
            <a:ext uri="{FF2B5EF4-FFF2-40B4-BE49-F238E27FC236}">
              <a16:creationId xmlns:a16="http://schemas.microsoft.com/office/drawing/2014/main" id="{196DBDE0-F9A0-426B-86DA-0CCB5C8DE903}"/>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51" name="Text Box 9">
          <a:extLst>
            <a:ext uri="{FF2B5EF4-FFF2-40B4-BE49-F238E27FC236}">
              <a16:creationId xmlns:a16="http://schemas.microsoft.com/office/drawing/2014/main" id="{C3CE7151-3FF8-4583-AE97-B7E5CA1C606C}"/>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52" name="Text Box 10">
          <a:extLst>
            <a:ext uri="{FF2B5EF4-FFF2-40B4-BE49-F238E27FC236}">
              <a16:creationId xmlns:a16="http://schemas.microsoft.com/office/drawing/2014/main" id="{5A62EE9D-AD2A-4E3E-A06D-863A13DEDF68}"/>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5668111"/>
    <xdr:sp macro="" textlink="">
      <xdr:nvSpPr>
        <xdr:cNvPr id="53" name="Text Box 11">
          <a:extLst>
            <a:ext uri="{FF2B5EF4-FFF2-40B4-BE49-F238E27FC236}">
              <a16:creationId xmlns:a16="http://schemas.microsoft.com/office/drawing/2014/main" id="{988636D7-9118-4458-9403-02C95321CDF7}"/>
            </a:ext>
          </a:extLst>
        </xdr:cNvPr>
        <xdr:cNvSpPr txBox="1">
          <a:spLocks noChangeArrowheads="1"/>
        </xdr:cNvSpPr>
      </xdr:nvSpPr>
      <xdr:spPr bwMode="auto">
        <a:xfrm>
          <a:off x="6080760" y="1816417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5180702</xdr:colOff>
      <xdr:row>14</xdr:row>
      <xdr:rowOff>0</xdr:rowOff>
    </xdr:from>
    <xdr:ext cx="45719" cy="5668111"/>
    <xdr:sp macro="" textlink="">
      <xdr:nvSpPr>
        <xdr:cNvPr id="54" name="Text Box 12">
          <a:extLst>
            <a:ext uri="{FF2B5EF4-FFF2-40B4-BE49-F238E27FC236}">
              <a16:creationId xmlns:a16="http://schemas.microsoft.com/office/drawing/2014/main" id="{EC09A088-444E-4C74-9BBF-3FF8BEC39698}"/>
            </a:ext>
          </a:extLst>
        </xdr:cNvPr>
        <xdr:cNvSpPr txBox="1">
          <a:spLocks noChangeArrowheads="1"/>
        </xdr:cNvSpPr>
      </xdr:nvSpPr>
      <xdr:spPr bwMode="auto">
        <a:xfrm>
          <a:off x="6076052" y="18223295"/>
          <a:ext cx="45719"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3</xdr:col>
      <xdr:colOff>365891</xdr:colOff>
      <xdr:row>14</xdr:row>
      <xdr:rowOff>0</xdr:rowOff>
    </xdr:from>
    <xdr:ext cx="18152" cy="5668111"/>
    <xdr:sp macro="" textlink="">
      <xdr:nvSpPr>
        <xdr:cNvPr id="55" name="Text Box 13">
          <a:extLst>
            <a:ext uri="{FF2B5EF4-FFF2-40B4-BE49-F238E27FC236}">
              <a16:creationId xmlns:a16="http://schemas.microsoft.com/office/drawing/2014/main" id="{99589907-1387-44A3-8C76-34C03DC43027}"/>
            </a:ext>
          </a:extLst>
        </xdr:cNvPr>
        <xdr:cNvSpPr txBox="1">
          <a:spLocks noChangeArrowheads="1"/>
        </xdr:cNvSpPr>
      </xdr:nvSpPr>
      <xdr:spPr bwMode="auto">
        <a:xfrm>
          <a:off x="6442841" y="18488025"/>
          <a:ext cx="18152" cy="566811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56" name="Text Box 1">
          <a:extLst>
            <a:ext uri="{FF2B5EF4-FFF2-40B4-BE49-F238E27FC236}">
              <a16:creationId xmlns:a16="http://schemas.microsoft.com/office/drawing/2014/main" id="{58A712C9-D373-4522-A8CC-37837F8D2CA3}"/>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57" name="Text Box 2">
          <a:extLst>
            <a:ext uri="{FF2B5EF4-FFF2-40B4-BE49-F238E27FC236}">
              <a16:creationId xmlns:a16="http://schemas.microsoft.com/office/drawing/2014/main" id="{900574EB-1520-4B15-BA41-55BF5D5D4526}"/>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58" name="Text Box 3">
          <a:extLst>
            <a:ext uri="{FF2B5EF4-FFF2-40B4-BE49-F238E27FC236}">
              <a16:creationId xmlns:a16="http://schemas.microsoft.com/office/drawing/2014/main" id="{E0825B9E-CC97-491D-9677-333BE38060B8}"/>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59" name="Text Box 4">
          <a:extLst>
            <a:ext uri="{FF2B5EF4-FFF2-40B4-BE49-F238E27FC236}">
              <a16:creationId xmlns:a16="http://schemas.microsoft.com/office/drawing/2014/main" id="{822837DF-7508-498D-9805-5770D0B87EBE}"/>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0" name="Text Box 5">
          <a:extLst>
            <a:ext uri="{FF2B5EF4-FFF2-40B4-BE49-F238E27FC236}">
              <a16:creationId xmlns:a16="http://schemas.microsoft.com/office/drawing/2014/main" id="{E3B95127-CE8E-4858-8AFF-A695FE0C9099}"/>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1" name="Text Box 6">
          <a:extLst>
            <a:ext uri="{FF2B5EF4-FFF2-40B4-BE49-F238E27FC236}">
              <a16:creationId xmlns:a16="http://schemas.microsoft.com/office/drawing/2014/main" id="{2C9FD39C-C721-43F8-AF38-0517A2FE186C}"/>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2" name="Text Box 7">
          <a:extLst>
            <a:ext uri="{FF2B5EF4-FFF2-40B4-BE49-F238E27FC236}">
              <a16:creationId xmlns:a16="http://schemas.microsoft.com/office/drawing/2014/main" id="{E5101586-0118-413E-87B8-D22BC954841E}"/>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3" name="Text Box 8">
          <a:extLst>
            <a:ext uri="{FF2B5EF4-FFF2-40B4-BE49-F238E27FC236}">
              <a16:creationId xmlns:a16="http://schemas.microsoft.com/office/drawing/2014/main" id="{68254CAA-EFC0-48EC-989B-55FA0D0844CB}"/>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4" name="Text Box 9">
          <a:extLst>
            <a:ext uri="{FF2B5EF4-FFF2-40B4-BE49-F238E27FC236}">
              <a16:creationId xmlns:a16="http://schemas.microsoft.com/office/drawing/2014/main" id="{6890670C-7458-46B7-8254-419D17493A56}"/>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5" name="Text Box 10">
          <a:extLst>
            <a:ext uri="{FF2B5EF4-FFF2-40B4-BE49-F238E27FC236}">
              <a16:creationId xmlns:a16="http://schemas.microsoft.com/office/drawing/2014/main" id="{15D6CB6C-510A-4F46-BD81-A693D1D43A4E}"/>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6" name="Text Box 11">
          <a:extLst>
            <a:ext uri="{FF2B5EF4-FFF2-40B4-BE49-F238E27FC236}">
              <a16:creationId xmlns:a16="http://schemas.microsoft.com/office/drawing/2014/main" id="{CD1E46E8-D426-477A-9D7E-B8078E717C64}"/>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7" name="Text Box 12">
          <a:extLst>
            <a:ext uri="{FF2B5EF4-FFF2-40B4-BE49-F238E27FC236}">
              <a16:creationId xmlns:a16="http://schemas.microsoft.com/office/drawing/2014/main" id="{888F4CDD-84F5-48CF-9D50-BA1BEEBA1E69}"/>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8" name="Text Box 13">
          <a:extLst>
            <a:ext uri="{FF2B5EF4-FFF2-40B4-BE49-F238E27FC236}">
              <a16:creationId xmlns:a16="http://schemas.microsoft.com/office/drawing/2014/main" id="{FEB56B32-760C-45E5-8655-02B3AC48ED78}"/>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69" name="Text Box 14">
          <a:extLst>
            <a:ext uri="{FF2B5EF4-FFF2-40B4-BE49-F238E27FC236}">
              <a16:creationId xmlns:a16="http://schemas.microsoft.com/office/drawing/2014/main" id="{32D85E53-D956-4D6D-AC82-01E9D17B33F7}"/>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70" name="Text Box 15">
          <a:extLst>
            <a:ext uri="{FF2B5EF4-FFF2-40B4-BE49-F238E27FC236}">
              <a16:creationId xmlns:a16="http://schemas.microsoft.com/office/drawing/2014/main" id="{7BC0C598-F1E1-43BB-AE0A-7B6981CDA5C1}"/>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71" name="Text Box 16">
          <a:extLst>
            <a:ext uri="{FF2B5EF4-FFF2-40B4-BE49-F238E27FC236}">
              <a16:creationId xmlns:a16="http://schemas.microsoft.com/office/drawing/2014/main" id="{829CA77A-BEE7-4D1E-8169-0D3F54300620}"/>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72" name="Text Box 17">
          <a:extLst>
            <a:ext uri="{FF2B5EF4-FFF2-40B4-BE49-F238E27FC236}">
              <a16:creationId xmlns:a16="http://schemas.microsoft.com/office/drawing/2014/main" id="{467174C1-8EF4-4968-B6F2-9218FC6DA997}"/>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73" name="Text Box 18">
          <a:extLst>
            <a:ext uri="{FF2B5EF4-FFF2-40B4-BE49-F238E27FC236}">
              <a16:creationId xmlns:a16="http://schemas.microsoft.com/office/drawing/2014/main" id="{657FE9A2-8BD4-4EE2-9768-2B95A78DE368}"/>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14</xdr:row>
      <xdr:rowOff>0</xdr:rowOff>
    </xdr:from>
    <xdr:ext cx="18152" cy="342548"/>
    <xdr:sp macro="" textlink="">
      <xdr:nvSpPr>
        <xdr:cNvPr id="74" name="Text Box 19">
          <a:extLst>
            <a:ext uri="{FF2B5EF4-FFF2-40B4-BE49-F238E27FC236}">
              <a16:creationId xmlns:a16="http://schemas.microsoft.com/office/drawing/2014/main" id="{1F1F36DA-8D94-40E1-B32E-F031DA9F49DD}"/>
            </a:ext>
          </a:extLst>
        </xdr:cNvPr>
        <xdr:cNvSpPr txBox="1">
          <a:spLocks noChangeArrowheads="1"/>
        </xdr:cNvSpPr>
      </xdr:nvSpPr>
      <xdr:spPr bwMode="auto">
        <a:xfrm>
          <a:off x="6080760" y="1816417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5273040</xdr:colOff>
      <xdr:row>13</xdr:row>
      <xdr:rowOff>152400</xdr:rowOff>
    </xdr:from>
    <xdr:ext cx="18152" cy="342548"/>
    <xdr:sp macro="" textlink="">
      <xdr:nvSpPr>
        <xdr:cNvPr id="75" name="Text Box 20">
          <a:extLst>
            <a:ext uri="{FF2B5EF4-FFF2-40B4-BE49-F238E27FC236}">
              <a16:creationId xmlns:a16="http://schemas.microsoft.com/office/drawing/2014/main" id="{0DD48ACC-572B-4396-BC0A-7ABECD99209B}"/>
            </a:ext>
          </a:extLst>
        </xdr:cNvPr>
        <xdr:cNvSpPr txBox="1">
          <a:spLocks noChangeArrowheads="1"/>
        </xdr:cNvSpPr>
      </xdr:nvSpPr>
      <xdr:spPr bwMode="auto">
        <a:xfrm>
          <a:off x="6240780" y="2941320"/>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76" name="Text Box 1">
          <a:extLst>
            <a:ext uri="{FF2B5EF4-FFF2-40B4-BE49-F238E27FC236}">
              <a16:creationId xmlns:a16="http://schemas.microsoft.com/office/drawing/2014/main" id="{095C8AF6-335C-4C6C-A5C0-522DFB5D2F5A}"/>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77" name="Text Box 2">
          <a:extLst>
            <a:ext uri="{FF2B5EF4-FFF2-40B4-BE49-F238E27FC236}">
              <a16:creationId xmlns:a16="http://schemas.microsoft.com/office/drawing/2014/main" id="{988A6F19-3AF7-4CA5-B934-F45B0CFEF46F}"/>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78" name="Text Box 3">
          <a:extLst>
            <a:ext uri="{FF2B5EF4-FFF2-40B4-BE49-F238E27FC236}">
              <a16:creationId xmlns:a16="http://schemas.microsoft.com/office/drawing/2014/main" id="{F774971D-0F89-47E2-8E1E-E37BF1CDD60C}"/>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79" name="Text Box 4">
          <a:extLst>
            <a:ext uri="{FF2B5EF4-FFF2-40B4-BE49-F238E27FC236}">
              <a16:creationId xmlns:a16="http://schemas.microsoft.com/office/drawing/2014/main" id="{BD82EDA8-C1AD-46A5-A104-294A7C875D60}"/>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0" name="Text Box 5">
          <a:extLst>
            <a:ext uri="{FF2B5EF4-FFF2-40B4-BE49-F238E27FC236}">
              <a16:creationId xmlns:a16="http://schemas.microsoft.com/office/drawing/2014/main" id="{11086711-BFDC-4808-A26C-B1470730C0B3}"/>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1" name="Text Box 6">
          <a:extLst>
            <a:ext uri="{FF2B5EF4-FFF2-40B4-BE49-F238E27FC236}">
              <a16:creationId xmlns:a16="http://schemas.microsoft.com/office/drawing/2014/main" id="{A7CFCC9D-CE23-40DF-8EA7-776D76A86FD1}"/>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2" name="Text Box 7">
          <a:extLst>
            <a:ext uri="{FF2B5EF4-FFF2-40B4-BE49-F238E27FC236}">
              <a16:creationId xmlns:a16="http://schemas.microsoft.com/office/drawing/2014/main" id="{850EF956-68C1-4B38-9736-353FAA02B224}"/>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3" name="Text Box 8">
          <a:extLst>
            <a:ext uri="{FF2B5EF4-FFF2-40B4-BE49-F238E27FC236}">
              <a16:creationId xmlns:a16="http://schemas.microsoft.com/office/drawing/2014/main" id="{C019F1D9-B803-4028-BD0E-852FB8D1A93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4" name="Text Box 9">
          <a:extLst>
            <a:ext uri="{FF2B5EF4-FFF2-40B4-BE49-F238E27FC236}">
              <a16:creationId xmlns:a16="http://schemas.microsoft.com/office/drawing/2014/main" id="{E1DF2D86-CCD0-4306-947C-BE3AB4F16E62}"/>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5" name="Text Box 10">
          <a:extLst>
            <a:ext uri="{FF2B5EF4-FFF2-40B4-BE49-F238E27FC236}">
              <a16:creationId xmlns:a16="http://schemas.microsoft.com/office/drawing/2014/main" id="{97C00294-BB1E-45E0-81DD-C1CFD309975E}"/>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6" name="Text Box 11">
          <a:extLst>
            <a:ext uri="{FF2B5EF4-FFF2-40B4-BE49-F238E27FC236}">
              <a16:creationId xmlns:a16="http://schemas.microsoft.com/office/drawing/2014/main" id="{62E5F7CA-194C-49ED-AD98-44A8A7DA4587}"/>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7" name="Text Box 12">
          <a:extLst>
            <a:ext uri="{FF2B5EF4-FFF2-40B4-BE49-F238E27FC236}">
              <a16:creationId xmlns:a16="http://schemas.microsoft.com/office/drawing/2014/main" id="{AEEF9342-02A0-4D8D-9E4C-432028A8BCE8}"/>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8" name="Text Box 13">
          <a:extLst>
            <a:ext uri="{FF2B5EF4-FFF2-40B4-BE49-F238E27FC236}">
              <a16:creationId xmlns:a16="http://schemas.microsoft.com/office/drawing/2014/main" id="{DE012BED-83F8-435E-BCDE-A8A35C019BD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89" name="Text Box 14">
          <a:extLst>
            <a:ext uri="{FF2B5EF4-FFF2-40B4-BE49-F238E27FC236}">
              <a16:creationId xmlns:a16="http://schemas.microsoft.com/office/drawing/2014/main" id="{5976B618-18AC-4797-B9ED-E4082DA71A0F}"/>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0" name="Text Box 15">
          <a:extLst>
            <a:ext uri="{FF2B5EF4-FFF2-40B4-BE49-F238E27FC236}">
              <a16:creationId xmlns:a16="http://schemas.microsoft.com/office/drawing/2014/main" id="{DBDFA23D-8D96-4873-ACBB-53C51DD95FC7}"/>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1" name="Text Box 16">
          <a:extLst>
            <a:ext uri="{FF2B5EF4-FFF2-40B4-BE49-F238E27FC236}">
              <a16:creationId xmlns:a16="http://schemas.microsoft.com/office/drawing/2014/main" id="{BD24EA4C-F4C0-4396-8E26-C583E2C1ED83}"/>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2" name="Text Box 17">
          <a:extLst>
            <a:ext uri="{FF2B5EF4-FFF2-40B4-BE49-F238E27FC236}">
              <a16:creationId xmlns:a16="http://schemas.microsoft.com/office/drawing/2014/main" id="{1E876245-60E9-4A68-80B4-56EAB2E45364}"/>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3" name="Text Box 18">
          <a:extLst>
            <a:ext uri="{FF2B5EF4-FFF2-40B4-BE49-F238E27FC236}">
              <a16:creationId xmlns:a16="http://schemas.microsoft.com/office/drawing/2014/main" id="{E67016D8-F0CF-48C5-BD31-E86371A10022}"/>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4" name="Text Box 19">
          <a:extLst>
            <a:ext uri="{FF2B5EF4-FFF2-40B4-BE49-F238E27FC236}">
              <a16:creationId xmlns:a16="http://schemas.microsoft.com/office/drawing/2014/main" id="{FF48DB1C-FB5B-4680-9B63-F748DFE72585}"/>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5" name="Text Box 20">
          <a:extLst>
            <a:ext uri="{FF2B5EF4-FFF2-40B4-BE49-F238E27FC236}">
              <a16:creationId xmlns:a16="http://schemas.microsoft.com/office/drawing/2014/main" id="{3C5517EE-FD42-4A97-9298-CE1339813F4B}"/>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6" name="Text Box 1">
          <a:extLst>
            <a:ext uri="{FF2B5EF4-FFF2-40B4-BE49-F238E27FC236}">
              <a16:creationId xmlns:a16="http://schemas.microsoft.com/office/drawing/2014/main" id="{EB6B0F78-B4AF-4DD0-8465-D8FC7562CB3C}"/>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7" name="Text Box 2">
          <a:extLst>
            <a:ext uri="{FF2B5EF4-FFF2-40B4-BE49-F238E27FC236}">
              <a16:creationId xmlns:a16="http://schemas.microsoft.com/office/drawing/2014/main" id="{82176490-2EAD-4133-8F6D-AF9A74911B28}"/>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8" name="Text Box 3">
          <a:extLst>
            <a:ext uri="{FF2B5EF4-FFF2-40B4-BE49-F238E27FC236}">
              <a16:creationId xmlns:a16="http://schemas.microsoft.com/office/drawing/2014/main" id="{E27D52E5-A046-4DB7-BDAA-0C02F43D495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99" name="Text Box 4">
          <a:extLst>
            <a:ext uri="{FF2B5EF4-FFF2-40B4-BE49-F238E27FC236}">
              <a16:creationId xmlns:a16="http://schemas.microsoft.com/office/drawing/2014/main" id="{8F8BE2CE-D997-4C23-AC87-BEC40B25541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0" name="Text Box 5">
          <a:extLst>
            <a:ext uri="{FF2B5EF4-FFF2-40B4-BE49-F238E27FC236}">
              <a16:creationId xmlns:a16="http://schemas.microsoft.com/office/drawing/2014/main" id="{BC7790B7-A903-4533-952D-05988C0009E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1" name="Text Box 6">
          <a:extLst>
            <a:ext uri="{FF2B5EF4-FFF2-40B4-BE49-F238E27FC236}">
              <a16:creationId xmlns:a16="http://schemas.microsoft.com/office/drawing/2014/main" id="{1FAD0A3C-7F1B-42AC-BF44-2FABA3788836}"/>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2" name="Text Box 7">
          <a:extLst>
            <a:ext uri="{FF2B5EF4-FFF2-40B4-BE49-F238E27FC236}">
              <a16:creationId xmlns:a16="http://schemas.microsoft.com/office/drawing/2014/main" id="{8DAADF1C-9905-4996-ACEE-52D8BA9A82A6}"/>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3" name="Text Box 8">
          <a:extLst>
            <a:ext uri="{FF2B5EF4-FFF2-40B4-BE49-F238E27FC236}">
              <a16:creationId xmlns:a16="http://schemas.microsoft.com/office/drawing/2014/main" id="{D717A873-5E6F-4FFC-9719-7CDE8E1D1050}"/>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4" name="Text Box 9">
          <a:extLst>
            <a:ext uri="{FF2B5EF4-FFF2-40B4-BE49-F238E27FC236}">
              <a16:creationId xmlns:a16="http://schemas.microsoft.com/office/drawing/2014/main" id="{2894BF52-DA67-41FD-84C2-1ED60815B3CC}"/>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5" name="Text Box 10">
          <a:extLst>
            <a:ext uri="{FF2B5EF4-FFF2-40B4-BE49-F238E27FC236}">
              <a16:creationId xmlns:a16="http://schemas.microsoft.com/office/drawing/2014/main" id="{0BEFDCCE-36A5-48CB-A10C-0E6481E0487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6" name="Text Box 11">
          <a:extLst>
            <a:ext uri="{FF2B5EF4-FFF2-40B4-BE49-F238E27FC236}">
              <a16:creationId xmlns:a16="http://schemas.microsoft.com/office/drawing/2014/main" id="{4F9ACE74-04E4-4BA5-9A68-59CC0BFD352A}"/>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7" name="Text Box 12">
          <a:extLst>
            <a:ext uri="{FF2B5EF4-FFF2-40B4-BE49-F238E27FC236}">
              <a16:creationId xmlns:a16="http://schemas.microsoft.com/office/drawing/2014/main" id="{62BC756A-44BE-4207-AF6C-0107A63254DF}"/>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8" name="Text Box 13">
          <a:extLst>
            <a:ext uri="{FF2B5EF4-FFF2-40B4-BE49-F238E27FC236}">
              <a16:creationId xmlns:a16="http://schemas.microsoft.com/office/drawing/2014/main" id="{FCC5322A-8D78-4963-BDD0-0B285483EAF5}"/>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09" name="Text Box 14">
          <a:extLst>
            <a:ext uri="{FF2B5EF4-FFF2-40B4-BE49-F238E27FC236}">
              <a16:creationId xmlns:a16="http://schemas.microsoft.com/office/drawing/2014/main" id="{7BD546D8-FC0D-48A2-8335-A5931E9EA6DD}"/>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0" name="Text Box 15">
          <a:extLst>
            <a:ext uri="{FF2B5EF4-FFF2-40B4-BE49-F238E27FC236}">
              <a16:creationId xmlns:a16="http://schemas.microsoft.com/office/drawing/2014/main" id="{07DEBD11-1950-465E-9EF3-AE9704234A1F}"/>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1" name="Text Box 16">
          <a:extLst>
            <a:ext uri="{FF2B5EF4-FFF2-40B4-BE49-F238E27FC236}">
              <a16:creationId xmlns:a16="http://schemas.microsoft.com/office/drawing/2014/main" id="{7344E6A8-D3B2-483D-A329-3F10E5EE99A8}"/>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2" name="Text Box 17">
          <a:extLst>
            <a:ext uri="{FF2B5EF4-FFF2-40B4-BE49-F238E27FC236}">
              <a16:creationId xmlns:a16="http://schemas.microsoft.com/office/drawing/2014/main" id="{A00FAAEA-0B9C-483B-8808-CDC5C03449FF}"/>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3" name="Text Box 18">
          <a:extLst>
            <a:ext uri="{FF2B5EF4-FFF2-40B4-BE49-F238E27FC236}">
              <a16:creationId xmlns:a16="http://schemas.microsoft.com/office/drawing/2014/main" id="{01C290DD-D48F-42AE-818A-19FA32A04008}"/>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4" name="Text Box 19">
          <a:extLst>
            <a:ext uri="{FF2B5EF4-FFF2-40B4-BE49-F238E27FC236}">
              <a16:creationId xmlns:a16="http://schemas.microsoft.com/office/drawing/2014/main" id="{6DAA71CA-1468-4E7B-9CB9-3269196486E9}"/>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2</xdr:col>
      <xdr:colOff>8785860</xdr:colOff>
      <xdr:row>12</xdr:row>
      <xdr:rowOff>0</xdr:rowOff>
    </xdr:from>
    <xdr:ext cx="18152" cy="342548"/>
    <xdr:sp macro="" textlink="">
      <xdr:nvSpPr>
        <xdr:cNvPr id="115" name="Text Box 20">
          <a:extLst>
            <a:ext uri="{FF2B5EF4-FFF2-40B4-BE49-F238E27FC236}">
              <a16:creationId xmlns:a16="http://schemas.microsoft.com/office/drawing/2014/main" id="{C2604B58-659D-4561-8C7D-748C4835612E}"/>
            </a:ext>
          </a:extLst>
        </xdr:cNvPr>
        <xdr:cNvSpPr txBox="1">
          <a:spLocks noChangeArrowheads="1"/>
        </xdr:cNvSpPr>
      </xdr:nvSpPr>
      <xdr:spPr bwMode="auto">
        <a:xfrm>
          <a:off x="6080760" y="2066925"/>
          <a:ext cx="18152" cy="342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E8D75-2D97-4E26-9CC6-0D006ECFAA26}">
  <dimension ref="B1:I814"/>
  <sheetViews>
    <sheetView tabSelected="1" view="pageBreakPreview" zoomScaleNormal="70" zoomScaleSheetLayoutView="100" workbookViewId="0">
      <pane ySplit="7" topLeftCell="A31" activePane="bottomLeft" state="frozen"/>
      <selection pane="bottomLeft" activeCell="C34" sqref="C34:C37"/>
    </sheetView>
  </sheetViews>
  <sheetFormatPr defaultColWidth="9.109375" defaultRowHeight="13.8" x14ac:dyDescent="0.3"/>
  <cols>
    <col min="1" max="1" width="2" style="8" customWidth="1"/>
    <col min="2" max="2" width="12.109375" style="45" customWidth="1"/>
    <col min="3" max="3" width="77" style="13" customWidth="1"/>
    <col min="4" max="4" width="5.6640625" style="45" customWidth="1"/>
    <col min="5" max="5" width="12.88671875" style="45" customWidth="1"/>
    <col min="6" max="7" width="14.33203125" style="79" customWidth="1"/>
    <col min="8" max="8" width="99.9990145" style="8" customWidth="1"/>
    <col min="9" max="9" width="52" style="13" customWidth="1"/>
    <col min="10" max="16384" width="9.109375" style="8"/>
  </cols>
  <sheetData>
    <row r="1" spans="2:9" ht="20.25" customHeight="1" thickBot="1" x14ac:dyDescent="0.35">
      <c r="B1" s="46"/>
      <c r="C1" s="80"/>
      <c r="D1" s="61"/>
      <c r="E1" s="39"/>
      <c r="F1" s="64"/>
      <c r="G1" s="65"/>
      <c r="H1" s="114"/>
      <c r="I1" s="10"/>
    </row>
    <row r="2" spans="2:9" ht="20.25" customHeight="1" x14ac:dyDescent="0.3">
      <c r="B2" s="120" t="s">
        <v>118</v>
      </c>
      <c r="C2" s="121"/>
      <c r="D2" s="62"/>
      <c r="E2" s="39"/>
      <c r="F2" s="66"/>
      <c r="G2" s="66"/>
      <c r="H2" s="115"/>
      <c r="I2" s="10"/>
    </row>
    <row r="3" spans="2:9" ht="20.25" customHeight="1" x14ac:dyDescent="0.3">
      <c r="B3" s="122" t="s">
        <v>0</v>
      </c>
      <c r="C3" s="123"/>
      <c r="D3" s="63"/>
      <c r="E3" s="40"/>
      <c r="F3" s="67"/>
      <c r="G3" s="67"/>
      <c r="H3" s="32"/>
      <c r="I3" s="10"/>
    </row>
    <row r="4" spans="2:9" ht="20.25" customHeight="1" thickBot="1" x14ac:dyDescent="0.35">
      <c r="B4" s="47"/>
      <c r="C4" s="81"/>
      <c r="D4" s="63"/>
      <c r="E4" s="40"/>
      <c r="F4" s="68"/>
      <c r="G4" s="69"/>
      <c r="H4" s="33"/>
      <c r="I4" s="10"/>
    </row>
    <row r="5" spans="2:9" ht="14.4" thickBot="1" x14ac:dyDescent="0.35">
      <c r="B5" s="126" t="s">
        <v>1</v>
      </c>
      <c r="C5" s="127"/>
      <c r="D5" s="127"/>
      <c r="E5" s="127"/>
      <c r="F5" s="127"/>
      <c r="G5" s="127"/>
      <c r="H5" s="128"/>
      <c r="I5" s="27"/>
    </row>
    <row r="6" spans="2:9" ht="14.4" thickBot="1" x14ac:dyDescent="0.35">
      <c r="B6" s="129" t="s">
        <v>2</v>
      </c>
      <c r="C6" s="131" t="s">
        <v>3</v>
      </c>
      <c r="D6" s="131" t="s">
        <v>4</v>
      </c>
      <c r="E6" s="133" t="s">
        <v>5</v>
      </c>
      <c r="F6" s="135" t="s">
        <v>6</v>
      </c>
      <c r="G6" s="135" t="s">
        <v>7</v>
      </c>
      <c r="H6" s="137" t="s">
        <v>8</v>
      </c>
      <c r="I6" s="124" t="s">
        <v>9</v>
      </c>
    </row>
    <row r="7" spans="2:9" ht="14.4" thickBot="1" x14ac:dyDescent="0.35">
      <c r="B7" s="130"/>
      <c r="C7" s="132"/>
      <c r="D7" s="132"/>
      <c r="E7" s="134" t="s">
        <v>10</v>
      </c>
      <c r="F7" s="136"/>
      <c r="G7" s="136"/>
      <c r="H7" s="138"/>
      <c r="I7" s="125"/>
    </row>
    <row r="8" spans="2:9" ht="14.4" thickBot="1" x14ac:dyDescent="0.35">
      <c r="B8" s="48"/>
      <c r="C8" s="1"/>
      <c r="D8" s="2"/>
      <c r="E8" s="41"/>
      <c r="F8" s="70"/>
      <c r="G8" s="70"/>
      <c r="H8" s="3"/>
      <c r="I8" s="11"/>
    </row>
    <row r="9" spans="2:9" ht="27.75" customHeight="1" thickBot="1" x14ac:dyDescent="0.35">
      <c r="B9" s="49"/>
      <c r="C9" s="4" t="s">
        <v>11</v>
      </c>
      <c r="D9" s="15"/>
      <c r="E9" s="5"/>
      <c r="F9" s="71"/>
      <c r="G9" s="72"/>
      <c r="H9" s="34"/>
      <c r="I9" s="6"/>
    </row>
    <row r="10" spans="2:9" x14ac:dyDescent="0.3">
      <c r="B10" s="50"/>
      <c r="C10" s="88" t="s">
        <v>12</v>
      </c>
      <c r="D10" s="28"/>
      <c r="E10" s="42"/>
      <c r="F10" s="73"/>
      <c r="G10" s="73"/>
      <c r="H10" s="29"/>
      <c r="I10" s="12"/>
    </row>
    <row r="11" spans="2:9" ht="36" x14ac:dyDescent="0.3">
      <c r="B11" s="51"/>
      <c r="C11" s="89" t="s">
        <v>13</v>
      </c>
      <c r="D11" s="30"/>
      <c r="E11" s="43"/>
      <c r="F11" s="74"/>
      <c r="G11" s="74"/>
      <c r="H11" s="31"/>
      <c r="I11" s="12"/>
    </row>
    <row r="12" spans="2:9" ht="60" x14ac:dyDescent="0.3">
      <c r="B12" s="51"/>
      <c r="C12" s="89" t="s">
        <v>14</v>
      </c>
      <c r="D12" s="30"/>
      <c r="E12" s="43"/>
      <c r="F12" s="74"/>
      <c r="G12" s="74"/>
      <c r="H12" s="31"/>
      <c r="I12" s="12"/>
    </row>
    <row r="13" spans="2:9" ht="24" x14ac:dyDescent="0.3">
      <c r="B13" s="51"/>
      <c r="C13" s="89" t="s">
        <v>15</v>
      </c>
      <c r="D13" s="30"/>
      <c r="E13" s="43"/>
      <c r="F13" s="74"/>
      <c r="G13" s="74"/>
      <c r="H13" s="31"/>
      <c r="I13" s="12"/>
    </row>
    <row r="14" spans="2:9" ht="24" x14ac:dyDescent="0.3">
      <c r="B14" s="51"/>
      <c r="C14" s="89" t="s">
        <v>16</v>
      </c>
      <c r="D14" s="30"/>
      <c r="E14" s="43"/>
      <c r="F14" s="74"/>
      <c r="G14" s="74"/>
      <c r="H14" s="31"/>
      <c r="I14" s="12"/>
    </row>
    <row r="15" spans="2:9" ht="36" x14ac:dyDescent="0.3">
      <c r="B15" s="51"/>
      <c r="C15" s="89" t="s">
        <v>17</v>
      </c>
      <c r="D15" s="30"/>
      <c r="E15" s="43"/>
      <c r="F15" s="74"/>
      <c r="G15" s="74"/>
      <c r="H15" s="31"/>
      <c r="I15" s="12"/>
    </row>
    <row r="16" spans="2:9" ht="60" x14ac:dyDescent="0.3">
      <c r="B16" s="51"/>
      <c r="C16" s="89" t="s">
        <v>18</v>
      </c>
      <c r="D16" s="30"/>
      <c r="E16" s="43"/>
      <c r="F16" s="74"/>
      <c r="G16" s="74"/>
      <c r="H16" s="31"/>
      <c r="I16" s="12"/>
    </row>
    <row r="17" spans="2:9" ht="36" x14ac:dyDescent="0.3">
      <c r="B17" s="51"/>
      <c r="C17" s="89" t="s">
        <v>19</v>
      </c>
      <c r="D17" s="30"/>
      <c r="E17" s="43"/>
      <c r="F17" s="74"/>
      <c r="G17" s="74"/>
      <c r="H17" s="31"/>
      <c r="I17" s="12"/>
    </row>
    <row r="18" spans="2:9" x14ac:dyDescent="0.3">
      <c r="B18" s="51"/>
      <c r="C18" s="99" t="s">
        <v>20</v>
      </c>
      <c r="D18" s="30"/>
      <c r="E18" s="43"/>
      <c r="F18" s="74"/>
      <c r="G18" s="74"/>
      <c r="H18" s="31"/>
      <c r="I18" s="12"/>
    </row>
    <row r="19" spans="2:9" x14ac:dyDescent="0.3">
      <c r="B19" s="109">
        <v>8</v>
      </c>
      <c r="C19" s="92" t="s">
        <v>21</v>
      </c>
      <c r="D19" s="93" t="s">
        <v>22</v>
      </c>
      <c r="E19" s="94"/>
      <c r="F19" s="95"/>
      <c r="G19" s="96" t="str">
        <f t="shared" ref="G19" si="0">IF(F19&gt;0,ROUND(E19*F19,2),"")</f>
        <v/>
      </c>
      <c r="H19" s="97">
        <f>SUM(G21:G76)</f>
        <v>30508.350000000002</v>
      </c>
      <c r="I19" s="12"/>
    </row>
    <row r="20" spans="2:9" x14ac:dyDescent="0.3">
      <c r="B20" s="56" t="s">
        <v>23</v>
      </c>
      <c r="C20" s="118" t="s">
        <v>24</v>
      </c>
      <c r="D20" s="7" t="s">
        <v>22</v>
      </c>
      <c r="E20" s="44" t="s">
        <v>22</v>
      </c>
      <c r="F20" s="38"/>
      <c r="G20" s="36" t="str">
        <f t="shared" ref="G20:G26" si="1">IF(F20&gt;0,ROUND(E20*F20,2),"")</f>
        <v/>
      </c>
      <c r="H20" s="9"/>
      <c r="I20" s="12"/>
    </row>
    <row r="21" spans="2:9" ht="27.6" x14ac:dyDescent="0.3">
      <c r="B21" s="57" t="s">
        <v>25</v>
      </c>
      <c r="C21" s="119" t="s">
        <v>26</v>
      </c>
      <c r="D21" s="7" t="s">
        <v>27</v>
      </c>
      <c r="E21" s="44">
        <v>15</v>
      </c>
      <c r="F21" s="36">
        <v>26</v>
      </c>
      <c r="G21" s="36">
        <f t="shared" si="1"/>
        <v>390</v>
      </c>
      <c r="H21" s="9"/>
      <c r="I21" s="12"/>
    </row>
    <row r="22" spans="2:9" ht="27.6" x14ac:dyDescent="0.3">
      <c r="B22" s="57" t="s">
        <v>28</v>
      </c>
      <c r="C22" s="119" t="s">
        <v>29</v>
      </c>
      <c r="D22" s="7" t="s">
        <v>22</v>
      </c>
      <c r="E22" s="44"/>
      <c r="F22" s="36"/>
      <c r="G22" s="36" t="str">
        <f t="shared" si="1"/>
        <v/>
      </c>
      <c r="H22" s="9"/>
      <c r="I22" s="12"/>
    </row>
    <row r="23" spans="2:9" x14ac:dyDescent="0.3">
      <c r="B23" s="57" t="s">
        <v>30</v>
      </c>
      <c r="C23" s="119" t="s">
        <v>117</v>
      </c>
      <c r="D23" s="110" t="s">
        <v>27</v>
      </c>
      <c r="E23" s="111">
        <v>15</v>
      </c>
      <c r="F23" s="90">
        <v>1.23</v>
      </c>
      <c r="G23" s="36">
        <f t="shared" si="1"/>
        <v>18.45</v>
      </c>
      <c r="H23" s="9"/>
      <c r="I23" s="12"/>
    </row>
    <row r="24" spans="2:9" x14ac:dyDescent="0.3">
      <c r="B24" s="57" t="s">
        <v>31</v>
      </c>
      <c r="C24" s="119" t="s">
        <v>143</v>
      </c>
      <c r="D24" s="110" t="s">
        <v>32</v>
      </c>
      <c r="E24" s="111">
        <v>1</v>
      </c>
      <c r="F24" s="90">
        <v>250</v>
      </c>
      <c r="G24" s="36">
        <f t="shared" si="1"/>
        <v>250</v>
      </c>
      <c r="H24" s="9"/>
      <c r="I24" s="12"/>
    </row>
    <row r="25" spans="2:9" x14ac:dyDescent="0.3">
      <c r="B25" s="56" t="s">
        <v>33</v>
      </c>
      <c r="C25" s="118" t="s">
        <v>34</v>
      </c>
      <c r="D25" s="7" t="s">
        <v>22</v>
      </c>
      <c r="E25" s="44"/>
      <c r="F25" s="36"/>
      <c r="G25" s="36" t="str">
        <f t="shared" si="1"/>
        <v/>
      </c>
      <c r="H25" s="9"/>
      <c r="I25" s="12"/>
    </row>
    <row r="26" spans="2:9" ht="27.6" x14ac:dyDescent="0.3">
      <c r="B26" s="57" t="s">
        <v>35</v>
      </c>
      <c r="C26" s="119" t="s">
        <v>36</v>
      </c>
      <c r="D26" s="7" t="s">
        <v>22</v>
      </c>
      <c r="E26" s="44"/>
      <c r="F26" s="37"/>
      <c r="G26" s="36" t="str">
        <f t="shared" si="1"/>
        <v/>
      </c>
      <c r="H26" s="9"/>
      <c r="I26" s="12"/>
    </row>
    <row r="27" spans="2:9" x14ac:dyDescent="0.3">
      <c r="B27" s="57" t="s">
        <v>37</v>
      </c>
      <c r="C27" s="119" t="s">
        <v>127</v>
      </c>
      <c r="D27" s="7" t="s">
        <v>38</v>
      </c>
      <c r="E27" s="44">
        <v>1</v>
      </c>
      <c r="F27" s="90">
        <v>1100</v>
      </c>
      <c r="G27" s="36">
        <f t="shared" ref="G27:G32" si="2">IF(F27&gt;0,ROUND(E27*F27,2),"")</f>
        <v>1100</v>
      </c>
      <c r="H27" s="9"/>
      <c r="I27" s="12"/>
    </row>
    <row r="28" spans="2:9" x14ac:dyDescent="0.3">
      <c r="B28" s="57" t="s">
        <v>39</v>
      </c>
      <c r="C28" s="119" t="s">
        <v>110</v>
      </c>
      <c r="D28" s="7" t="s">
        <v>38</v>
      </c>
      <c r="E28" s="44">
        <v>1</v>
      </c>
      <c r="F28" s="90">
        <v>600</v>
      </c>
      <c r="G28" s="36">
        <f t="shared" si="2"/>
        <v>600</v>
      </c>
      <c r="H28" s="9"/>
      <c r="I28" s="12"/>
    </row>
    <row r="29" spans="2:9" x14ac:dyDescent="0.3">
      <c r="B29" s="57" t="s">
        <v>40</v>
      </c>
      <c r="C29" s="119" t="s">
        <v>111</v>
      </c>
      <c r="D29" s="7" t="s">
        <v>38</v>
      </c>
      <c r="E29" s="44">
        <v>1</v>
      </c>
      <c r="F29" s="90">
        <v>600</v>
      </c>
      <c r="G29" s="36">
        <f t="shared" si="2"/>
        <v>600</v>
      </c>
      <c r="H29" s="9"/>
      <c r="I29" s="12"/>
    </row>
    <row r="30" spans="2:9" x14ac:dyDescent="0.3">
      <c r="B30" s="57" t="s">
        <v>41</v>
      </c>
      <c r="C30" s="119" t="s">
        <v>113</v>
      </c>
      <c r="D30" s="7" t="s">
        <v>38</v>
      </c>
      <c r="E30" s="44">
        <v>1</v>
      </c>
      <c r="F30" s="90">
        <v>600</v>
      </c>
      <c r="G30" s="36">
        <f t="shared" si="2"/>
        <v>600</v>
      </c>
      <c r="H30" s="9"/>
      <c r="I30" s="12"/>
    </row>
    <row r="31" spans="2:9" x14ac:dyDescent="0.3">
      <c r="B31" s="57" t="s">
        <v>42</v>
      </c>
      <c r="C31" s="119" t="s">
        <v>114</v>
      </c>
      <c r="D31" s="7" t="s">
        <v>38</v>
      </c>
      <c r="E31" s="44">
        <v>1</v>
      </c>
      <c r="F31" s="90">
        <v>600</v>
      </c>
      <c r="G31" s="36">
        <f t="shared" si="2"/>
        <v>600</v>
      </c>
      <c r="H31" s="9"/>
      <c r="I31" s="12"/>
    </row>
    <row r="32" spans="2:9" x14ac:dyDescent="0.3">
      <c r="B32" s="57" t="s">
        <v>112</v>
      </c>
      <c r="C32" s="119" t="s">
        <v>115</v>
      </c>
      <c r="D32" s="7" t="s">
        <v>38</v>
      </c>
      <c r="E32" s="44">
        <v>1</v>
      </c>
      <c r="F32" s="90">
        <v>600</v>
      </c>
      <c r="G32" s="36">
        <f t="shared" si="2"/>
        <v>600</v>
      </c>
      <c r="H32" s="9"/>
      <c r="I32" s="12"/>
    </row>
    <row r="33" spans="2:9" x14ac:dyDescent="0.3">
      <c r="B33" s="56" t="s">
        <v>43</v>
      </c>
      <c r="C33" s="118" t="s">
        <v>44</v>
      </c>
      <c r="D33" s="7" t="s">
        <v>22</v>
      </c>
      <c r="E33" s="44"/>
      <c r="F33" s="36"/>
      <c r="G33" s="36" t="str">
        <f t="shared" ref="G33:G50" si="3">IF(F33&gt;0,ROUND(E33*F33,2),"")</f>
        <v/>
      </c>
      <c r="H33" s="9"/>
      <c r="I33" s="12"/>
    </row>
    <row r="34" spans="2:9" x14ac:dyDescent="0.3">
      <c r="B34" s="57" t="s">
        <v>45</v>
      </c>
      <c r="C34" s="119" t="s">
        <v>46</v>
      </c>
      <c r="D34" s="7" t="s">
        <v>22</v>
      </c>
      <c r="E34" s="111"/>
      <c r="F34" s="36"/>
      <c r="G34" s="36" t="str">
        <f t="shared" si="3"/>
        <v/>
      </c>
      <c r="H34" s="9"/>
      <c r="I34" s="12"/>
    </row>
    <row r="35" spans="2:9" x14ac:dyDescent="0.3">
      <c r="B35" s="57" t="s">
        <v>47</v>
      </c>
      <c r="C35" s="119" t="s">
        <v>48</v>
      </c>
      <c r="D35" s="7" t="s">
        <v>49</v>
      </c>
      <c r="E35" s="111">
        <v>950</v>
      </c>
      <c r="F35" s="36">
        <v>2</v>
      </c>
      <c r="G35" s="36">
        <f t="shared" si="3"/>
        <v>1900</v>
      </c>
      <c r="H35" s="9"/>
      <c r="I35" s="12"/>
    </row>
    <row r="36" spans="2:9" x14ac:dyDescent="0.3">
      <c r="B36" s="57" t="s">
        <v>50</v>
      </c>
      <c r="C36" s="119" t="s">
        <v>51</v>
      </c>
      <c r="D36" s="7" t="s">
        <v>49</v>
      </c>
      <c r="E36" s="111">
        <v>66</v>
      </c>
      <c r="F36" s="36">
        <v>2.2999999999999998</v>
      </c>
      <c r="G36" s="36">
        <f>IF(F36&gt;0,ROUND(E36*F36,2),"")</f>
        <v>151.80000000000001</v>
      </c>
      <c r="H36" s="9"/>
      <c r="I36" s="12"/>
    </row>
    <row r="37" spans="2:9" ht="13.5" customHeight="1" x14ac:dyDescent="0.3">
      <c r="B37" s="57" t="s">
        <v>52</v>
      </c>
      <c r="C37" s="119" t="s">
        <v>53</v>
      </c>
      <c r="D37" s="7" t="s">
        <v>22</v>
      </c>
      <c r="E37" s="111"/>
      <c r="F37" s="36"/>
      <c r="G37" s="36" t="str">
        <f>IF(F37&gt;0,ROUND(E37*F37,2),"")</f>
        <v/>
      </c>
      <c r="H37" s="9"/>
      <c r="I37" s="12"/>
    </row>
    <row r="38" spans="2:9" s="113" customFormat="1" x14ac:dyDescent="0.3">
      <c r="B38" s="57" t="s">
        <v>54</v>
      </c>
      <c r="C38" s="119" t="s">
        <v>150</v>
      </c>
      <c r="D38" s="110" t="s">
        <v>49</v>
      </c>
      <c r="E38" s="111">
        <v>15</v>
      </c>
      <c r="F38" s="90">
        <v>15</v>
      </c>
      <c r="G38" s="90">
        <f>IF(F38&gt;0,ROUND(E38*F38,2),"")</f>
        <v>225</v>
      </c>
      <c r="H38" s="91"/>
      <c r="I38" s="112"/>
    </row>
    <row r="39" spans="2:9" x14ac:dyDescent="0.3">
      <c r="B39" s="57" t="s">
        <v>55</v>
      </c>
      <c r="C39" s="119" t="s">
        <v>147</v>
      </c>
      <c r="D39" s="7" t="s">
        <v>49</v>
      </c>
      <c r="E39" s="111">
        <v>200</v>
      </c>
      <c r="F39" s="90">
        <v>11.6</v>
      </c>
      <c r="G39" s="36">
        <f t="shared" si="3"/>
        <v>2320</v>
      </c>
      <c r="H39" s="9"/>
      <c r="I39" s="12"/>
    </row>
    <row r="40" spans="2:9" x14ac:dyDescent="0.3">
      <c r="B40" s="57" t="s">
        <v>56</v>
      </c>
      <c r="C40" s="119" t="s">
        <v>148</v>
      </c>
      <c r="D40" s="7" t="s">
        <v>49</v>
      </c>
      <c r="E40" s="111">
        <v>225</v>
      </c>
      <c r="F40" s="36">
        <v>5.9</v>
      </c>
      <c r="G40" s="36">
        <f t="shared" si="3"/>
        <v>1327.5</v>
      </c>
      <c r="H40" s="9"/>
      <c r="I40" s="12"/>
    </row>
    <row r="41" spans="2:9" x14ac:dyDescent="0.3">
      <c r="B41" s="57" t="s">
        <v>57</v>
      </c>
      <c r="C41" s="119" t="s">
        <v>149</v>
      </c>
      <c r="D41" s="7" t="s">
        <v>49</v>
      </c>
      <c r="E41" s="111">
        <v>1150</v>
      </c>
      <c r="F41" s="90">
        <v>0.95</v>
      </c>
      <c r="G41" s="36">
        <f t="shared" si="3"/>
        <v>1092.5</v>
      </c>
      <c r="H41" s="9"/>
      <c r="I41" s="12"/>
    </row>
    <row r="42" spans="2:9" x14ac:dyDescent="0.3">
      <c r="B42" s="56" t="s">
        <v>58</v>
      </c>
      <c r="C42" s="118" t="s">
        <v>59</v>
      </c>
      <c r="D42" s="7"/>
      <c r="E42" s="44"/>
      <c r="F42" s="36"/>
      <c r="G42" s="36"/>
      <c r="H42" s="9"/>
      <c r="I42" s="12"/>
    </row>
    <row r="43" spans="2:9" x14ac:dyDescent="0.3">
      <c r="B43" s="57" t="s">
        <v>60</v>
      </c>
      <c r="C43" s="119" t="s">
        <v>130</v>
      </c>
      <c r="D43" s="7"/>
      <c r="E43" s="44"/>
      <c r="F43" s="36"/>
      <c r="G43" s="36"/>
      <c r="H43" s="9"/>
      <c r="I43" s="12"/>
    </row>
    <row r="44" spans="2:9" ht="15.75" customHeight="1" x14ac:dyDescent="0.3">
      <c r="B44" s="57" t="s">
        <v>128</v>
      </c>
      <c r="C44" s="119" t="s">
        <v>61</v>
      </c>
      <c r="D44" s="7" t="s">
        <v>38</v>
      </c>
      <c r="E44" s="44">
        <v>70</v>
      </c>
      <c r="F44" s="36">
        <v>8.56</v>
      </c>
      <c r="G44" s="36">
        <f t="shared" si="3"/>
        <v>599.20000000000005</v>
      </c>
      <c r="H44" s="9"/>
      <c r="I44" s="12"/>
    </row>
    <row r="45" spans="2:9" ht="27.6" x14ac:dyDescent="0.3">
      <c r="B45" s="57" t="s">
        <v>129</v>
      </c>
      <c r="C45" s="119" t="s">
        <v>62</v>
      </c>
      <c r="D45" s="7" t="s">
        <v>38</v>
      </c>
      <c r="E45" s="44">
        <v>5</v>
      </c>
      <c r="F45" s="36">
        <v>10.31</v>
      </c>
      <c r="G45" s="36">
        <f t="shared" si="3"/>
        <v>51.55</v>
      </c>
      <c r="H45" s="9"/>
      <c r="I45" s="12"/>
    </row>
    <row r="46" spans="2:9" ht="15" customHeight="1" x14ac:dyDescent="0.3">
      <c r="B46" s="56" t="s">
        <v>63</v>
      </c>
      <c r="C46" s="119" t="s">
        <v>64</v>
      </c>
      <c r="D46" s="7" t="s">
        <v>22</v>
      </c>
      <c r="E46" s="44"/>
      <c r="F46" s="36"/>
      <c r="G46" s="36" t="str">
        <f t="shared" si="3"/>
        <v/>
      </c>
      <c r="H46" s="9"/>
      <c r="I46" s="12"/>
    </row>
    <row r="47" spans="2:9" x14ac:dyDescent="0.3">
      <c r="B47" s="57" t="s">
        <v>65</v>
      </c>
      <c r="C47" s="119" t="s">
        <v>119</v>
      </c>
      <c r="D47" s="7" t="s">
        <v>38</v>
      </c>
      <c r="E47" s="44">
        <v>10</v>
      </c>
      <c r="F47" s="36">
        <v>11</v>
      </c>
      <c r="G47" s="36">
        <f>IF(F47&gt;0,ROUND(E47*F47,2),"")</f>
        <v>110</v>
      </c>
      <c r="H47" s="9"/>
      <c r="I47" s="12"/>
    </row>
    <row r="48" spans="2:9" x14ac:dyDescent="0.3">
      <c r="B48" s="57" t="s">
        <v>66</v>
      </c>
      <c r="C48" s="119" t="s">
        <v>120</v>
      </c>
      <c r="D48" s="7" t="s">
        <v>38</v>
      </c>
      <c r="E48" s="111">
        <v>105</v>
      </c>
      <c r="F48" s="36">
        <v>1.6</v>
      </c>
      <c r="G48" s="36">
        <f>IF(F48&gt;0,ROUND(E48*F48,2),"")</f>
        <v>168</v>
      </c>
      <c r="H48" s="9"/>
      <c r="I48" s="12"/>
    </row>
    <row r="49" spans="2:9" ht="14.25" customHeight="1" x14ac:dyDescent="0.3">
      <c r="B49" s="57" t="s">
        <v>67</v>
      </c>
      <c r="C49" s="119" t="s">
        <v>68</v>
      </c>
      <c r="D49" s="7" t="s">
        <v>22</v>
      </c>
      <c r="E49" s="44"/>
      <c r="F49" s="35"/>
      <c r="G49" s="36" t="str">
        <f>IF(F49&gt;0,ROUND(E49*F49,2),"")</f>
        <v/>
      </c>
      <c r="H49" s="9"/>
      <c r="I49" s="12"/>
    </row>
    <row r="50" spans="2:9" x14ac:dyDescent="0.3">
      <c r="B50" s="57" t="s">
        <v>69</v>
      </c>
      <c r="C50" s="119" t="s">
        <v>151</v>
      </c>
      <c r="D50" s="7" t="s">
        <v>49</v>
      </c>
      <c r="E50" s="111">
        <v>1560</v>
      </c>
      <c r="F50" s="36">
        <v>0.65</v>
      </c>
      <c r="G50" s="36">
        <f t="shared" si="3"/>
        <v>1014</v>
      </c>
      <c r="H50" s="9"/>
      <c r="I50" s="12"/>
    </row>
    <row r="51" spans="2:9" ht="27.6" x14ac:dyDescent="0.3">
      <c r="B51" s="57" t="s">
        <v>70</v>
      </c>
      <c r="C51" s="119" t="s">
        <v>71</v>
      </c>
      <c r="D51" s="7" t="s">
        <v>22</v>
      </c>
      <c r="E51" s="44"/>
      <c r="F51" s="36"/>
      <c r="G51" s="36" t="str">
        <f t="shared" ref="G51:G62" si="4">IF(F51&gt;0,ROUND(E51*F51,2),"")</f>
        <v/>
      </c>
      <c r="H51" s="9"/>
      <c r="I51" s="12"/>
    </row>
    <row r="52" spans="2:9" x14ac:dyDescent="0.3">
      <c r="B52" s="57" t="s">
        <v>72</v>
      </c>
      <c r="C52" s="119" t="s">
        <v>73</v>
      </c>
      <c r="D52" s="7" t="s">
        <v>38</v>
      </c>
      <c r="E52" s="44">
        <v>10</v>
      </c>
      <c r="F52" s="36">
        <v>6.1</v>
      </c>
      <c r="G52" s="36">
        <f t="shared" si="4"/>
        <v>61</v>
      </c>
      <c r="H52" s="9"/>
      <c r="I52" s="12"/>
    </row>
    <row r="53" spans="2:9" x14ac:dyDescent="0.3">
      <c r="B53" s="57" t="s">
        <v>74</v>
      </c>
      <c r="C53" s="119" t="s">
        <v>76</v>
      </c>
      <c r="D53" s="7" t="s">
        <v>38</v>
      </c>
      <c r="E53" s="44">
        <v>20</v>
      </c>
      <c r="F53" s="36">
        <v>4.4000000000000004</v>
      </c>
      <c r="G53" s="36">
        <f t="shared" si="4"/>
        <v>88</v>
      </c>
      <c r="H53" s="9"/>
      <c r="I53" s="12"/>
    </row>
    <row r="54" spans="2:9" x14ac:dyDescent="0.3">
      <c r="B54" s="57" t="s">
        <v>75</v>
      </c>
      <c r="C54" s="119" t="s">
        <v>79</v>
      </c>
      <c r="D54" s="7" t="s">
        <v>38</v>
      </c>
      <c r="E54" s="44">
        <v>6</v>
      </c>
      <c r="F54" s="36">
        <v>75</v>
      </c>
      <c r="G54" s="36">
        <f t="shared" si="4"/>
        <v>450</v>
      </c>
      <c r="H54" s="9"/>
      <c r="I54" s="12"/>
    </row>
    <row r="55" spans="2:9" x14ac:dyDescent="0.3">
      <c r="B55" s="57" t="s">
        <v>77</v>
      </c>
      <c r="C55" s="119" t="s">
        <v>116</v>
      </c>
      <c r="D55" s="7" t="s">
        <v>38</v>
      </c>
      <c r="E55" s="44">
        <v>2</v>
      </c>
      <c r="F55" s="36">
        <v>60</v>
      </c>
      <c r="G55" s="36">
        <f t="shared" si="4"/>
        <v>120</v>
      </c>
      <c r="H55" s="9"/>
      <c r="I55" s="12"/>
    </row>
    <row r="56" spans="2:9" ht="27.6" x14ac:dyDescent="0.3">
      <c r="B56" s="57" t="s">
        <v>78</v>
      </c>
      <c r="C56" s="119" t="s">
        <v>80</v>
      </c>
      <c r="D56" s="7" t="s">
        <v>22</v>
      </c>
      <c r="E56" s="44"/>
      <c r="F56" s="36"/>
      <c r="G56" s="36"/>
      <c r="H56" s="9"/>
      <c r="I56" s="12"/>
    </row>
    <row r="57" spans="2:9" x14ac:dyDescent="0.3">
      <c r="B57" s="57" t="s">
        <v>121</v>
      </c>
      <c r="C57" s="119" t="s">
        <v>81</v>
      </c>
      <c r="D57" s="7" t="s">
        <v>38</v>
      </c>
      <c r="E57" s="44">
        <v>20</v>
      </c>
      <c r="F57" s="36">
        <v>55</v>
      </c>
      <c r="G57" s="36">
        <f t="shared" si="4"/>
        <v>1100</v>
      </c>
      <c r="H57" s="9"/>
      <c r="I57" s="12"/>
    </row>
    <row r="58" spans="2:9" x14ac:dyDescent="0.3">
      <c r="B58" s="57" t="s">
        <v>122</v>
      </c>
      <c r="C58" s="119" t="s">
        <v>126</v>
      </c>
      <c r="D58" s="7" t="s">
        <v>38</v>
      </c>
      <c r="E58" s="44">
        <v>35</v>
      </c>
      <c r="F58" s="36">
        <v>145</v>
      </c>
      <c r="G58" s="36">
        <f t="shared" si="4"/>
        <v>5075</v>
      </c>
      <c r="H58" s="9"/>
      <c r="I58" s="12"/>
    </row>
    <row r="59" spans="2:9" x14ac:dyDescent="0.3">
      <c r="B59" s="57" t="s">
        <v>123</v>
      </c>
      <c r="C59" s="119" t="s">
        <v>82</v>
      </c>
      <c r="D59" s="7" t="s">
        <v>38</v>
      </c>
      <c r="E59" s="44">
        <v>5</v>
      </c>
      <c r="F59" s="36">
        <v>68</v>
      </c>
      <c r="G59" s="36">
        <f t="shared" si="4"/>
        <v>340</v>
      </c>
      <c r="H59" s="9"/>
      <c r="I59" s="12"/>
    </row>
    <row r="60" spans="2:9" x14ac:dyDescent="0.3">
      <c r="B60" s="57" t="s">
        <v>124</v>
      </c>
      <c r="C60" s="119" t="s">
        <v>83</v>
      </c>
      <c r="D60" s="7" t="s">
        <v>38</v>
      </c>
      <c r="E60" s="44">
        <v>21</v>
      </c>
      <c r="F60" s="36">
        <v>62</v>
      </c>
      <c r="G60" s="36">
        <f t="shared" si="4"/>
        <v>1302</v>
      </c>
      <c r="H60" s="9"/>
      <c r="I60" s="102"/>
    </row>
    <row r="61" spans="2:9" x14ac:dyDescent="0.3">
      <c r="B61" s="57" t="s">
        <v>125</v>
      </c>
      <c r="C61" s="119" t="s">
        <v>84</v>
      </c>
      <c r="D61" s="7" t="s">
        <v>38</v>
      </c>
      <c r="E61" s="44">
        <v>4</v>
      </c>
      <c r="F61" s="36">
        <v>115</v>
      </c>
      <c r="G61" s="36">
        <f t="shared" si="4"/>
        <v>460</v>
      </c>
      <c r="H61" s="9"/>
      <c r="I61" s="102"/>
    </row>
    <row r="62" spans="2:9" ht="27.6" x14ac:dyDescent="0.3">
      <c r="B62" s="57" t="s">
        <v>155</v>
      </c>
      <c r="C62" s="119" t="s">
        <v>156</v>
      </c>
      <c r="D62" s="7" t="s">
        <v>38</v>
      </c>
      <c r="E62" s="44">
        <v>5</v>
      </c>
      <c r="F62" s="36">
        <v>95</v>
      </c>
      <c r="G62" s="36">
        <f t="shared" si="4"/>
        <v>475</v>
      </c>
      <c r="H62" s="9"/>
      <c r="I62" s="102"/>
    </row>
    <row r="63" spans="2:9" x14ac:dyDescent="0.3">
      <c r="B63" s="56" t="s">
        <v>131</v>
      </c>
      <c r="C63" s="118" t="s">
        <v>132</v>
      </c>
      <c r="D63" s="110"/>
      <c r="E63" s="111"/>
      <c r="F63" s="90"/>
      <c r="G63" s="90"/>
      <c r="H63" s="9"/>
      <c r="I63" s="102"/>
    </row>
    <row r="64" spans="2:9" x14ac:dyDescent="0.3">
      <c r="B64" s="117" t="s">
        <v>133</v>
      </c>
      <c r="C64" s="119" t="s">
        <v>145</v>
      </c>
      <c r="D64" s="7" t="s">
        <v>38</v>
      </c>
      <c r="E64" s="44">
        <v>5</v>
      </c>
      <c r="F64" s="36">
        <v>1200</v>
      </c>
      <c r="G64" s="36">
        <f t="shared" ref="G64:G69" si="5">IF(F64&gt;0,ROUND(E64*F64,2),"")</f>
        <v>6000</v>
      </c>
      <c r="H64" s="9"/>
      <c r="I64" s="102"/>
    </row>
    <row r="65" spans="2:9" x14ac:dyDescent="0.3">
      <c r="B65" s="117" t="s">
        <v>134</v>
      </c>
      <c r="C65" s="119" t="s">
        <v>135</v>
      </c>
      <c r="D65" s="7" t="s">
        <v>38</v>
      </c>
      <c r="E65" s="44">
        <v>1</v>
      </c>
      <c r="F65" s="36">
        <v>275</v>
      </c>
      <c r="G65" s="36">
        <f t="shared" si="5"/>
        <v>275</v>
      </c>
      <c r="H65" s="9"/>
      <c r="I65" s="102"/>
    </row>
    <row r="66" spans="2:9" x14ac:dyDescent="0.3">
      <c r="B66" s="117" t="s">
        <v>136</v>
      </c>
      <c r="C66" s="13" t="s">
        <v>144</v>
      </c>
      <c r="D66" s="7" t="s">
        <v>38</v>
      </c>
      <c r="E66" s="44">
        <v>1</v>
      </c>
      <c r="F66" s="36">
        <v>480</v>
      </c>
      <c r="G66" s="36">
        <f t="shared" si="5"/>
        <v>480</v>
      </c>
      <c r="H66" s="9"/>
      <c r="I66" s="102"/>
    </row>
    <row r="67" spans="2:9" x14ac:dyDescent="0.3">
      <c r="B67" s="117" t="s">
        <v>137</v>
      </c>
      <c r="C67" s="119" t="s">
        <v>138</v>
      </c>
      <c r="D67" s="7"/>
      <c r="E67" s="44"/>
      <c r="F67" s="36"/>
      <c r="G67" s="36"/>
      <c r="H67" s="9"/>
      <c r="I67" s="102"/>
    </row>
    <row r="68" spans="2:9" x14ac:dyDescent="0.3">
      <c r="B68" s="117" t="s">
        <v>139</v>
      </c>
      <c r="C68" s="119" t="s">
        <v>140</v>
      </c>
      <c r="D68" s="7" t="s">
        <v>49</v>
      </c>
      <c r="E68" s="44">
        <v>95</v>
      </c>
      <c r="F68" s="36">
        <v>2</v>
      </c>
      <c r="G68" s="36">
        <f t="shared" si="5"/>
        <v>190</v>
      </c>
      <c r="H68" s="9"/>
      <c r="I68" s="102"/>
    </row>
    <row r="69" spans="2:9" x14ac:dyDescent="0.3">
      <c r="B69" s="117" t="s">
        <v>141</v>
      </c>
      <c r="C69" s="119" t="s">
        <v>142</v>
      </c>
      <c r="D69" s="7" t="s">
        <v>49</v>
      </c>
      <c r="E69" s="44">
        <v>110</v>
      </c>
      <c r="F69" s="98">
        <v>1.8</v>
      </c>
      <c r="G69" s="36">
        <f t="shared" si="5"/>
        <v>198</v>
      </c>
      <c r="H69" s="9"/>
      <c r="I69" s="102"/>
    </row>
    <row r="70" spans="2:9" x14ac:dyDescent="0.3">
      <c r="B70" s="56" t="s">
        <v>85</v>
      </c>
      <c r="C70" s="118" t="s">
        <v>86</v>
      </c>
      <c r="D70" s="7"/>
      <c r="E70" s="44"/>
      <c r="F70" s="36"/>
      <c r="G70" s="36"/>
      <c r="H70" s="87"/>
      <c r="I70" s="12"/>
    </row>
    <row r="71" spans="2:9" x14ac:dyDescent="0.3">
      <c r="B71" s="57" t="s">
        <v>87</v>
      </c>
      <c r="C71" s="119" t="s">
        <v>88</v>
      </c>
      <c r="D71" s="7" t="s">
        <v>49</v>
      </c>
      <c r="E71" s="111"/>
      <c r="F71" s="90"/>
      <c r="G71" s="36"/>
      <c r="H71" s="87"/>
      <c r="I71" s="12"/>
    </row>
    <row r="72" spans="2:9" x14ac:dyDescent="0.3">
      <c r="B72" s="57" t="s">
        <v>89</v>
      </c>
      <c r="C72" s="119" t="s">
        <v>152</v>
      </c>
      <c r="D72" s="7" t="s">
        <v>49</v>
      </c>
      <c r="E72" s="44">
        <v>15</v>
      </c>
      <c r="F72" s="36">
        <v>3.0630000000000002</v>
      </c>
      <c r="G72" s="36">
        <f t="shared" ref="G72:G76" si="6">IF(F72&gt;0,ROUND(E72*F72,2),"")</f>
        <v>45.95</v>
      </c>
      <c r="H72" s="87"/>
      <c r="I72" s="12"/>
    </row>
    <row r="73" spans="2:9" ht="27.6" x14ac:dyDescent="0.3">
      <c r="B73" s="57" t="s">
        <v>90</v>
      </c>
      <c r="C73" s="119" t="s">
        <v>29</v>
      </c>
      <c r="D73" s="7"/>
      <c r="E73" s="44"/>
      <c r="F73" s="36"/>
      <c r="G73" s="36"/>
      <c r="H73" s="87"/>
      <c r="I73" s="12"/>
    </row>
    <row r="74" spans="2:9" x14ac:dyDescent="0.3">
      <c r="B74" s="57" t="s">
        <v>153</v>
      </c>
      <c r="C74" s="119" t="s">
        <v>154</v>
      </c>
      <c r="D74" s="7" t="s">
        <v>49</v>
      </c>
      <c r="E74" s="44">
        <v>10</v>
      </c>
      <c r="F74" s="36">
        <v>3</v>
      </c>
      <c r="G74" s="36">
        <f t="shared" si="6"/>
        <v>30</v>
      </c>
      <c r="H74" s="87"/>
      <c r="I74" s="12"/>
    </row>
    <row r="75" spans="2:9" ht="41.4" x14ac:dyDescent="0.3">
      <c r="B75" s="57" t="s">
        <v>90</v>
      </c>
      <c r="C75" s="119" t="s">
        <v>91</v>
      </c>
      <c r="D75" s="7" t="s">
        <v>32</v>
      </c>
      <c r="E75" s="44">
        <v>2</v>
      </c>
      <c r="F75" s="36">
        <v>36.700000000000003</v>
      </c>
      <c r="G75" s="36">
        <f t="shared" si="6"/>
        <v>73.400000000000006</v>
      </c>
      <c r="H75" s="87"/>
      <c r="I75" s="12"/>
    </row>
    <row r="76" spans="2:9" x14ac:dyDescent="0.3">
      <c r="B76" s="57" t="s">
        <v>92</v>
      </c>
      <c r="C76" s="119" t="s">
        <v>93</v>
      </c>
      <c r="D76" s="7" t="s">
        <v>38</v>
      </c>
      <c r="E76" s="44">
        <v>1</v>
      </c>
      <c r="F76" s="36">
        <v>27</v>
      </c>
      <c r="G76" s="36">
        <f t="shared" si="6"/>
        <v>27</v>
      </c>
      <c r="H76" s="87"/>
      <c r="I76" s="21"/>
    </row>
    <row r="77" spans="2:9" x14ac:dyDescent="0.3">
      <c r="B77" s="109">
        <v>10</v>
      </c>
      <c r="C77" s="92" t="s">
        <v>95</v>
      </c>
      <c r="D77" s="104" t="s">
        <v>22</v>
      </c>
      <c r="E77" s="105"/>
      <c r="F77" s="95"/>
      <c r="G77" s="96" t="str">
        <f t="shared" ref="G77:G81" si="7">IF(F77&gt;0,ROUND(E77*F77,2),"")</f>
        <v/>
      </c>
      <c r="H77" s="97">
        <f>SUM(G78:G81)</f>
        <v>850</v>
      </c>
      <c r="I77" s="21"/>
    </row>
    <row r="78" spans="2:9" ht="69" x14ac:dyDescent="0.3">
      <c r="B78" s="101" t="s">
        <v>96</v>
      </c>
      <c r="C78" s="82" t="s">
        <v>97</v>
      </c>
      <c r="D78" s="59" t="s">
        <v>94</v>
      </c>
      <c r="E78" s="86">
        <v>1</v>
      </c>
      <c r="F78" s="98">
        <v>300</v>
      </c>
      <c r="G78" s="36">
        <f t="shared" si="7"/>
        <v>300</v>
      </c>
      <c r="H78" s="87"/>
      <c r="I78" s="12"/>
    </row>
    <row r="79" spans="2:9" ht="22.2" customHeight="1" x14ac:dyDescent="0.3">
      <c r="B79" s="101" t="s">
        <v>98</v>
      </c>
      <c r="C79" s="82" t="s">
        <v>99</v>
      </c>
      <c r="D79" s="59" t="s">
        <v>32</v>
      </c>
      <c r="E79" s="86">
        <v>1</v>
      </c>
      <c r="F79" s="98">
        <v>200</v>
      </c>
      <c r="G79" s="36">
        <f t="shared" si="7"/>
        <v>200</v>
      </c>
      <c r="H79" s="87"/>
      <c r="I79" s="12"/>
    </row>
    <row r="80" spans="2:9" ht="27.6" x14ac:dyDescent="0.3">
      <c r="B80" s="101" t="s">
        <v>100</v>
      </c>
      <c r="C80" s="82" t="s">
        <v>101</v>
      </c>
      <c r="D80" s="59" t="s">
        <v>38</v>
      </c>
      <c r="E80" s="86">
        <v>1</v>
      </c>
      <c r="F80" s="36">
        <v>150</v>
      </c>
      <c r="G80" s="36">
        <f t="shared" si="7"/>
        <v>150</v>
      </c>
      <c r="H80" s="87"/>
      <c r="I80" s="21"/>
    </row>
    <row r="81" spans="2:9" x14ac:dyDescent="0.3">
      <c r="B81" s="101" t="s">
        <v>102</v>
      </c>
      <c r="C81" s="82" t="s">
        <v>103</v>
      </c>
      <c r="D81" s="59" t="s">
        <v>32</v>
      </c>
      <c r="E81" s="86">
        <v>1</v>
      </c>
      <c r="F81" s="36">
        <v>200</v>
      </c>
      <c r="G81" s="36">
        <f t="shared" si="7"/>
        <v>200</v>
      </c>
      <c r="H81" s="87"/>
      <c r="I81" s="21"/>
    </row>
    <row r="82" spans="2:9" x14ac:dyDescent="0.3">
      <c r="F82" s="75"/>
      <c r="G82" s="116" t="s">
        <v>104</v>
      </c>
      <c r="H82" s="108">
        <f>SUM(H19:H81)</f>
        <v>31358.350000000002</v>
      </c>
      <c r="I82" s="21"/>
    </row>
    <row r="83" spans="2:9" x14ac:dyDescent="0.3">
      <c r="F83" s="75"/>
      <c r="G83" s="75"/>
      <c r="H83" s="20"/>
      <c r="I83" s="21"/>
    </row>
    <row r="84" spans="2:9" x14ac:dyDescent="0.3">
      <c r="F84" s="75"/>
      <c r="G84" s="75"/>
      <c r="H84" s="20"/>
      <c r="I84" s="21"/>
    </row>
    <row r="85" spans="2:9" x14ac:dyDescent="0.3">
      <c r="F85" s="75"/>
      <c r="G85" s="75"/>
      <c r="H85" s="20"/>
      <c r="I85" s="21"/>
    </row>
    <row r="86" spans="2:9" x14ac:dyDescent="0.3">
      <c r="F86" s="75"/>
      <c r="G86" s="75"/>
      <c r="H86" s="20"/>
      <c r="I86" s="21"/>
    </row>
    <row r="87" spans="2:9" x14ac:dyDescent="0.3">
      <c r="F87" s="75"/>
      <c r="G87" s="75"/>
      <c r="H87" s="20"/>
      <c r="I87" s="21"/>
    </row>
    <row r="88" spans="2:9" x14ac:dyDescent="0.3">
      <c r="F88" s="75"/>
      <c r="G88" s="75"/>
      <c r="H88" s="20"/>
      <c r="I88" s="21"/>
    </row>
    <row r="89" spans="2:9" x14ac:dyDescent="0.3">
      <c r="F89" s="75"/>
      <c r="G89" s="75"/>
      <c r="H89" s="20"/>
      <c r="I89" s="12"/>
    </row>
    <row r="90" spans="2:9" x14ac:dyDescent="0.3">
      <c r="F90" s="75"/>
      <c r="G90" s="75"/>
      <c r="H90" s="20"/>
      <c r="I90" s="12"/>
    </row>
    <row r="91" spans="2:9" x14ac:dyDescent="0.3">
      <c r="F91" s="75"/>
      <c r="G91" s="75"/>
      <c r="H91" s="20"/>
      <c r="I91" s="21"/>
    </row>
    <row r="92" spans="2:9" x14ac:dyDescent="0.3">
      <c r="F92" s="75"/>
      <c r="G92" s="75"/>
      <c r="H92" s="20"/>
      <c r="I92" s="21"/>
    </row>
    <row r="93" spans="2:9" x14ac:dyDescent="0.3">
      <c r="F93" s="75"/>
      <c r="G93" s="75"/>
      <c r="H93" s="20"/>
      <c r="I93" s="21"/>
    </row>
    <row r="94" spans="2:9" x14ac:dyDescent="0.3">
      <c r="F94" s="75"/>
      <c r="G94" s="75"/>
      <c r="H94" s="20"/>
      <c r="I94" s="21"/>
    </row>
    <row r="95" spans="2:9" x14ac:dyDescent="0.3">
      <c r="F95" s="75"/>
      <c r="G95" s="75"/>
      <c r="H95" s="20"/>
      <c r="I95" s="21"/>
    </row>
    <row r="96" spans="2:9" x14ac:dyDescent="0.3">
      <c r="B96" s="53"/>
      <c r="C96" s="14"/>
      <c r="D96" s="17"/>
      <c r="E96" s="22"/>
      <c r="F96" s="75"/>
      <c r="G96" s="75"/>
      <c r="H96" s="20"/>
      <c r="I96" s="21"/>
    </row>
    <row r="97" spans="2:9" x14ac:dyDescent="0.3">
      <c r="B97" s="53"/>
      <c r="C97" s="14"/>
      <c r="D97" s="17"/>
      <c r="E97" s="22"/>
      <c r="F97" s="75"/>
      <c r="G97" s="75"/>
      <c r="H97" s="20"/>
      <c r="I97" s="21"/>
    </row>
    <row r="98" spans="2:9" x14ac:dyDescent="0.3">
      <c r="B98" s="53"/>
      <c r="C98" s="14"/>
      <c r="D98" s="17"/>
      <c r="E98" s="22"/>
      <c r="F98" s="75"/>
      <c r="G98" s="75"/>
      <c r="H98" s="20"/>
      <c r="I98" s="24"/>
    </row>
    <row r="99" spans="2:9" x14ac:dyDescent="0.3">
      <c r="B99" s="53"/>
      <c r="C99" s="14"/>
      <c r="D99" s="17"/>
      <c r="E99" s="22"/>
      <c r="F99" s="75"/>
      <c r="G99" s="75"/>
      <c r="H99" s="20"/>
      <c r="I99" s="21"/>
    </row>
    <row r="100" spans="2:9" x14ac:dyDescent="0.3">
      <c r="B100" s="53"/>
      <c r="C100" s="14"/>
      <c r="D100" s="17"/>
      <c r="E100" s="22"/>
      <c r="F100" s="77"/>
      <c r="G100" s="78"/>
      <c r="H100" s="23"/>
      <c r="I100" s="21"/>
    </row>
    <row r="101" spans="2:9" x14ac:dyDescent="0.3">
      <c r="B101" s="53"/>
      <c r="C101" s="14"/>
      <c r="D101" s="17"/>
      <c r="E101" s="22"/>
      <c r="F101" s="75"/>
      <c r="G101" s="75"/>
      <c r="H101" s="20"/>
      <c r="I101" s="19"/>
    </row>
    <row r="102" spans="2:9" x14ac:dyDescent="0.3">
      <c r="B102" s="53"/>
      <c r="C102" s="14"/>
      <c r="D102" s="17"/>
      <c r="E102" s="22"/>
      <c r="F102" s="75"/>
      <c r="G102" s="75"/>
      <c r="H102" s="20"/>
      <c r="I102" s="21"/>
    </row>
    <row r="103" spans="2:9" x14ac:dyDescent="0.3">
      <c r="B103" s="53"/>
      <c r="C103" s="14"/>
      <c r="D103" s="17"/>
      <c r="E103" s="22"/>
      <c r="F103" s="76"/>
      <c r="G103" s="75"/>
      <c r="H103" s="18"/>
      <c r="I103" s="21"/>
    </row>
    <row r="104" spans="2:9" x14ac:dyDescent="0.3">
      <c r="B104" s="53"/>
      <c r="C104" s="14"/>
      <c r="D104" s="17"/>
      <c r="E104" s="22"/>
      <c r="F104" s="75"/>
      <c r="G104" s="75"/>
      <c r="H104" s="20"/>
      <c r="I104" s="21"/>
    </row>
    <row r="105" spans="2:9" x14ac:dyDescent="0.3">
      <c r="B105" s="53"/>
      <c r="C105" s="14"/>
      <c r="D105" s="17"/>
      <c r="E105" s="22"/>
      <c r="F105" s="75"/>
      <c r="G105" s="75"/>
      <c r="H105" s="20"/>
      <c r="I105" s="21"/>
    </row>
    <row r="106" spans="2:9" x14ac:dyDescent="0.3">
      <c r="B106" s="52"/>
      <c r="C106" s="16"/>
      <c r="D106" s="17"/>
      <c r="E106" s="22"/>
      <c r="F106" s="75"/>
      <c r="G106" s="75"/>
      <c r="H106" s="20"/>
      <c r="I106" s="21"/>
    </row>
    <row r="107" spans="2:9" x14ac:dyDescent="0.3">
      <c r="B107" s="53"/>
      <c r="C107" s="14"/>
      <c r="D107" s="17"/>
      <c r="E107" s="22"/>
      <c r="F107" s="75"/>
      <c r="G107" s="75"/>
      <c r="H107" s="20"/>
      <c r="I107" s="21"/>
    </row>
    <row r="108" spans="2:9" x14ac:dyDescent="0.3">
      <c r="B108" s="53"/>
      <c r="C108" s="14"/>
      <c r="D108" s="17"/>
      <c r="E108" s="22"/>
      <c r="F108" s="75"/>
      <c r="G108" s="75"/>
      <c r="H108" s="20"/>
      <c r="I108" s="21"/>
    </row>
    <row r="109" spans="2:9" x14ac:dyDescent="0.3">
      <c r="B109" s="53"/>
      <c r="C109" s="14"/>
      <c r="D109" s="17"/>
      <c r="E109" s="22"/>
      <c r="F109" s="75"/>
      <c r="G109" s="75"/>
      <c r="H109" s="20"/>
      <c r="I109" s="21"/>
    </row>
    <row r="110" spans="2:9" x14ac:dyDescent="0.3">
      <c r="B110" s="53"/>
      <c r="C110" s="14"/>
      <c r="D110" s="17"/>
      <c r="E110" s="22"/>
      <c r="F110" s="75"/>
      <c r="G110" s="75"/>
      <c r="H110" s="20"/>
      <c r="I110" s="21"/>
    </row>
    <row r="111" spans="2:9" x14ac:dyDescent="0.3">
      <c r="B111" s="54"/>
      <c r="C111" s="16"/>
      <c r="D111" s="17"/>
      <c r="E111" s="22"/>
      <c r="F111" s="75"/>
      <c r="G111" s="75"/>
      <c r="H111" s="20"/>
      <c r="I111" s="21"/>
    </row>
    <row r="112" spans="2:9" x14ac:dyDescent="0.3">
      <c r="B112" s="52"/>
      <c r="C112" s="16"/>
      <c r="D112" s="17"/>
      <c r="E112" s="22"/>
      <c r="F112" s="75"/>
      <c r="G112" s="75"/>
      <c r="H112" s="20"/>
      <c r="I112" s="21"/>
    </row>
    <row r="113" spans="2:9" x14ac:dyDescent="0.3">
      <c r="B113" s="53"/>
      <c r="C113" s="14"/>
      <c r="D113" s="17"/>
      <c r="E113" s="22"/>
      <c r="F113" s="75"/>
      <c r="G113" s="75"/>
      <c r="H113" s="20"/>
      <c r="I113" s="21"/>
    </row>
    <row r="114" spans="2:9" x14ac:dyDescent="0.3">
      <c r="B114" s="53"/>
      <c r="C114" s="14"/>
      <c r="D114" s="17"/>
      <c r="E114" s="22"/>
      <c r="F114" s="75"/>
      <c r="G114" s="75"/>
      <c r="H114" s="20"/>
      <c r="I114" s="21"/>
    </row>
    <row r="115" spans="2:9" x14ac:dyDescent="0.3">
      <c r="B115" s="53"/>
      <c r="C115" s="14"/>
      <c r="D115" s="17"/>
      <c r="E115" s="22"/>
      <c r="F115" s="75"/>
      <c r="G115" s="75"/>
      <c r="H115" s="20"/>
      <c r="I115" s="21"/>
    </row>
    <row r="116" spans="2:9" x14ac:dyDescent="0.3">
      <c r="B116" s="53"/>
      <c r="C116" s="14"/>
      <c r="D116" s="17"/>
      <c r="E116" s="22"/>
      <c r="F116" s="75"/>
      <c r="G116" s="75"/>
      <c r="H116" s="20"/>
      <c r="I116" s="21"/>
    </row>
    <row r="117" spans="2:9" x14ac:dyDescent="0.3">
      <c r="B117" s="53"/>
      <c r="C117" s="14"/>
      <c r="D117" s="17"/>
      <c r="E117" s="22"/>
      <c r="F117" s="75"/>
      <c r="G117" s="75"/>
      <c r="H117" s="20"/>
      <c r="I117" s="21"/>
    </row>
    <row r="118" spans="2:9" x14ac:dyDescent="0.3">
      <c r="B118" s="53"/>
      <c r="C118" s="14"/>
      <c r="D118" s="17"/>
      <c r="E118" s="22"/>
      <c r="F118" s="75"/>
      <c r="G118" s="75"/>
      <c r="H118" s="20"/>
      <c r="I118" s="21"/>
    </row>
    <row r="119" spans="2:9" x14ac:dyDescent="0.3">
      <c r="B119" s="53"/>
      <c r="C119" s="14"/>
      <c r="D119" s="17"/>
      <c r="E119" s="22"/>
      <c r="F119" s="75"/>
      <c r="G119" s="75"/>
      <c r="H119" s="20"/>
      <c r="I119" s="21"/>
    </row>
    <row r="120" spans="2:9" x14ac:dyDescent="0.3">
      <c r="B120" s="53"/>
      <c r="C120" s="14"/>
      <c r="D120" s="17"/>
      <c r="E120" s="22"/>
      <c r="F120" s="75"/>
      <c r="G120" s="75"/>
      <c r="H120" s="20"/>
      <c r="I120" s="21"/>
    </row>
    <row r="121" spans="2:9" x14ac:dyDescent="0.3">
      <c r="B121" s="53"/>
      <c r="C121" s="14"/>
      <c r="D121" s="17"/>
      <c r="E121" s="22"/>
      <c r="F121" s="75"/>
      <c r="G121" s="75"/>
      <c r="H121" s="20"/>
      <c r="I121" s="21"/>
    </row>
    <row r="122" spans="2:9" x14ac:dyDescent="0.3">
      <c r="B122" s="53"/>
      <c r="C122" s="14"/>
      <c r="D122" s="17"/>
      <c r="E122" s="22"/>
      <c r="F122" s="75"/>
      <c r="G122" s="75"/>
      <c r="H122" s="20"/>
      <c r="I122" s="21"/>
    </row>
    <row r="123" spans="2:9" x14ac:dyDescent="0.3">
      <c r="B123" s="53"/>
      <c r="C123" s="14"/>
      <c r="D123" s="17"/>
      <c r="E123" s="22"/>
      <c r="F123" s="75"/>
      <c r="G123" s="75"/>
      <c r="H123" s="20"/>
      <c r="I123" s="21"/>
    </row>
    <row r="124" spans="2:9" x14ac:dyDescent="0.3">
      <c r="B124" s="53"/>
      <c r="C124" s="14"/>
      <c r="D124" s="17"/>
      <c r="E124" s="22"/>
      <c r="F124" s="75"/>
      <c r="G124" s="75"/>
      <c r="H124" s="20"/>
      <c r="I124" s="21"/>
    </row>
    <row r="125" spans="2:9" x14ac:dyDescent="0.3">
      <c r="B125" s="53"/>
      <c r="C125" s="14"/>
      <c r="D125" s="17"/>
      <c r="E125" s="22"/>
      <c r="F125" s="75"/>
      <c r="G125" s="75"/>
      <c r="H125" s="20"/>
      <c r="I125" s="21"/>
    </row>
    <row r="126" spans="2:9" x14ac:dyDescent="0.3">
      <c r="B126" s="53"/>
      <c r="C126" s="14"/>
      <c r="D126" s="17"/>
      <c r="E126" s="22"/>
      <c r="F126" s="75"/>
      <c r="G126" s="75"/>
      <c r="H126" s="20"/>
      <c r="I126" s="21"/>
    </row>
    <row r="127" spans="2:9" x14ac:dyDescent="0.3">
      <c r="B127" s="53"/>
      <c r="C127" s="14"/>
      <c r="D127" s="17"/>
      <c r="E127" s="22"/>
      <c r="F127" s="75"/>
      <c r="G127" s="75"/>
      <c r="H127" s="20"/>
      <c r="I127" s="21"/>
    </row>
    <row r="128" spans="2:9" x14ac:dyDescent="0.3">
      <c r="B128" s="53"/>
      <c r="C128" s="14"/>
      <c r="D128" s="17"/>
      <c r="E128" s="22"/>
      <c r="F128" s="75"/>
      <c r="G128" s="75"/>
      <c r="H128" s="20"/>
      <c r="I128" s="21"/>
    </row>
    <row r="129" spans="2:9" x14ac:dyDescent="0.3">
      <c r="B129" s="53"/>
      <c r="C129" s="14"/>
      <c r="D129" s="17"/>
      <c r="E129" s="22"/>
      <c r="F129" s="75"/>
      <c r="G129" s="75"/>
      <c r="H129" s="20"/>
      <c r="I129" s="21"/>
    </row>
    <row r="130" spans="2:9" x14ac:dyDescent="0.3">
      <c r="B130" s="53"/>
      <c r="C130" s="14"/>
      <c r="D130" s="17"/>
      <c r="E130" s="22"/>
      <c r="F130" s="75"/>
      <c r="G130" s="75"/>
      <c r="H130" s="20"/>
      <c r="I130" s="21"/>
    </row>
    <row r="131" spans="2:9" x14ac:dyDescent="0.3">
      <c r="B131" s="53"/>
      <c r="C131" s="14"/>
      <c r="D131" s="17"/>
      <c r="E131" s="22"/>
      <c r="F131" s="75"/>
      <c r="G131" s="75"/>
      <c r="H131" s="20"/>
      <c r="I131" s="21"/>
    </row>
    <row r="132" spans="2:9" x14ac:dyDescent="0.3">
      <c r="B132" s="53"/>
      <c r="C132" s="14"/>
      <c r="D132" s="17"/>
      <c r="E132" s="22"/>
      <c r="F132" s="75"/>
      <c r="G132" s="75"/>
      <c r="H132" s="20"/>
      <c r="I132" s="21"/>
    </row>
    <row r="133" spans="2:9" x14ac:dyDescent="0.3">
      <c r="B133" s="53"/>
      <c r="C133" s="14"/>
      <c r="D133" s="17"/>
      <c r="E133" s="22"/>
      <c r="F133" s="75"/>
      <c r="G133" s="75"/>
      <c r="H133" s="20"/>
      <c r="I133" s="21"/>
    </row>
    <row r="134" spans="2:9" x14ac:dyDescent="0.3">
      <c r="B134" s="53"/>
      <c r="C134" s="14"/>
      <c r="D134" s="17"/>
      <c r="E134" s="22"/>
      <c r="F134" s="75"/>
      <c r="G134" s="75"/>
      <c r="H134" s="20"/>
      <c r="I134" s="21"/>
    </row>
    <row r="135" spans="2:9" x14ac:dyDescent="0.3">
      <c r="B135" s="53"/>
      <c r="C135" s="14"/>
      <c r="D135" s="17"/>
      <c r="E135" s="22"/>
      <c r="F135" s="75"/>
      <c r="G135" s="75"/>
      <c r="H135" s="20"/>
      <c r="I135" s="21"/>
    </row>
    <row r="136" spans="2:9" x14ac:dyDescent="0.3">
      <c r="B136" s="53"/>
      <c r="C136" s="14"/>
      <c r="D136" s="17"/>
      <c r="E136" s="22"/>
      <c r="F136" s="75"/>
      <c r="G136" s="75"/>
      <c r="H136" s="20"/>
      <c r="I136" s="21"/>
    </row>
    <row r="137" spans="2:9" x14ac:dyDescent="0.3">
      <c r="B137" s="53"/>
      <c r="C137" s="14"/>
      <c r="D137" s="17"/>
      <c r="E137" s="22"/>
      <c r="F137" s="75"/>
      <c r="G137" s="75"/>
      <c r="H137" s="20"/>
      <c r="I137" s="21"/>
    </row>
    <row r="138" spans="2:9" x14ac:dyDescent="0.3">
      <c r="B138" s="53"/>
      <c r="C138" s="14"/>
      <c r="D138" s="17"/>
      <c r="E138" s="22"/>
      <c r="F138" s="75"/>
      <c r="G138" s="75"/>
      <c r="H138" s="20"/>
      <c r="I138" s="21"/>
    </row>
    <row r="139" spans="2:9" x14ac:dyDescent="0.3">
      <c r="B139" s="53"/>
      <c r="C139" s="14"/>
      <c r="D139" s="17"/>
      <c r="E139" s="22"/>
      <c r="F139" s="75"/>
      <c r="G139" s="75"/>
      <c r="H139" s="20"/>
      <c r="I139" s="21"/>
    </row>
    <row r="140" spans="2:9" x14ac:dyDescent="0.3">
      <c r="B140" s="53"/>
      <c r="C140" s="14"/>
      <c r="D140" s="17"/>
      <c r="E140" s="22"/>
      <c r="F140" s="75"/>
      <c r="G140" s="75"/>
      <c r="H140" s="20"/>
      <c r="I140" s="21"/>
    </row>
    <row r="141" spans="2:9" x14ac:dyDescent="0.3">
      <c r="B141" s="53"/>
      <c r="C141" s="14"/>
      <c r="D141" s="17"/>
      <c r="E141" s="22"/>
      <c r="F141" s="75"/>
      <c r="G141" s="75"/>
      <c r="H141" s="20"/>
      <c r="I141" s="21"/>
    </row>
    <row r="142" spans="2:9" x14ac:dyDescent="0.3">
      <c r="B142" s="53"/>
      <c r="C142" s="14"/>
      <c r="D142" s="17"/>
      <c r="E142" s="22"/>
      <c r="F142" s="75"/>
      <c r="G142" s="75"/>
      <c r="H142" s="20"/>
      <c r="I142" s="21"/>
    </row>
    <row r="143" spans="2:9" x14ac:dyDescent="0.3">
      <c r="B143" s="53"/>
      <c r="C143" s="14"/>
      <c r="D143" s="17"/>
      <c r="E143" s="22"/>
      <c r="F143" s="75"/>
      <c r="G143" s="75"/>
      <c r="H143" s="20"/>
      <c r="I143" s="21"/>
    </row>
    <row r="144" spans="2:9" x14ac:dyDescent="0.3">
      <c r="B144" s="53"/>
      <c r="C144" s="14"/>
      <c r="D144" s="17"/>
      <c r="E144" s="22"/>
      <c r="F144" s="75"/>
      <c r="G144" s="75"/>
      <c r="H144" s="20"/>
      <c r="I144" s="21"/>
    </row>
    <row r="145" spans="2:9" x14ac:dyDescent="0.3">
      <c r="B145" s="53"/>
      <c r="C145" s="14"/>
      <c r="D145" s="17"/>
      <c r="E145" s="22"/>
      <c r="F145" s="75"/>
      <c r="G145" s="75"/>
      <c r="H145" s="20"/>
      <c r="I145" s="21"/>
    </row>
    <row r="146" spans="2:9" x14ac:dyDescent="0.3">
      <c r="B146" s="53"/>
      <c r="C146" s="14"/>
      <c r="D146" s="17"/>
      <c r="E146" s="22"/>
      <c r="F146" s="75"/>
      <c r="G146" s="75"/>
      <c r="H146" s="20"/>
      <c r="I146" s="21"/>
    </row>
    <row r="147" spans="2:9" x14ac:dyDescent="0.3">
      <c r="B147" s="53"/>
      <c r="C147" s="14"/>
      <c r="D147" s="17"/>
      <c r="E147" s="22"/>
      <c r="F147" s="75"/>
      <c r="G147" s="75"/>
      <c r="H147" s="20"/>
      <c r="I147" s="21"/>
    </row>
    <row r="148" spans="2:9" x14ac:dyDescent="0.3">
      <c r="B148" s="53"/>
      <c r="C148" s="14"/>
      <c r="D148" s="17"/>
      <c r="E148" s="22"/>
      <c r="F148" s="75"/>
      <c r="G148" s="75"/>
      <c r="H148" s="20"/>
      <c r="I148" s="21"/>
    </row>
    <row r="149" spans="2:9" x14ac:dyDescent="0.3">
      <c r="B149" s="53"/>
      <c r="C149" s="14"/>
      <c r="D149" s="17"/>
      <c r="E149" s="22"/>
      <c r="F149" s="75"/>
      <c r="G149" s="75"/>
      <c r="H149" s="20"/>
      <c r="I149" s="21"/>
    </row>
    <row r="150" spans="2:9" x14ac:dyDescent="0.3">
      <c r="B150" s="53"/>
      <c r="C150" s="14"/>
      <c r="D150" s="17"/>
      <c r="E150" s="22"/>
      <c r="F150" s="75"/>
      <c r="G150" s="75"/>
      <c r="H150" s="20"/>
      <c r="I150" s="21"/>
    </row>
    <row r="151" spans="2:9" x14ac:dyDescent="0.3">
      <c r="B151" s="53"/>
      <c r="C151" s="14"/>
      <c r="D151" s="17"/>
      <c r="E151" s="22"/>
      <c r="F151" s="75"/>
      <c r="G151" s="75"/>
      <c r="H151" s="20"/>
      <c r="I151" s="21"/>
    </row>
    <row r="152" spans="2:9" x14ac:dyDescent="0.3">
      <c r="B152" s="53"/>
      <c r="C152" s="14"/>
      <c r="D152" s="17"/>
      <c r="E152" s="22"/>
      <c r="F152" s="75"/>
      <c r="G152" s="75"/>
      <c r="H152" s="20"/>
      <c r="I152" s="21"/>
    </row>
    <row r="153" spans="2:9" x14ac:dyDescent="0.3">
      <c r="B153" s="53"/>
      <c r="C153" s="14"/>
      <c r="D153" s="17"/>
      <c r="E153" s="22"/>
      <c r="F153" s="75"/>
      <c r="G153" s="75"/>
      <c r="H153" s="20"/>
      <c r="I153" s="21"/>
    </row>
    <row r="154" spans="2:9" x14ac:dyDescent="0.3">
      <c r="B154" s="53"/>
      <c r="C154" s="14"/>
      <c r="D154" s="17"/>
      <c r="E154" s="22"/>
      <c r="F154" s="75"/>
      <c r="G154" s="75"/>
      <c r="H154" s="20"/>
      <c r="I154" s="21"/>
    </row>
    <row r="155" spans="2:9" x14ac:dyDescent="0.3">
      <c r="B155" s="53"/>
      <c r="C155" s="14"/>
      <c r="D155" s="17"/>
      <c r="E155" s="22"/>
      <c r="F155" s="75"/>
      <c r="G155" s="75"/>
      <c r="H155" s="20"/>
      <c r="I155" s="21"/>
    </row>
    <row r="156" spans="2:9" x14ac:dyDescent="0.3">
      <c r="B156" s="52"/>
      <c r="C156" s="16"/>
      <c r="D156" s="17"/>
      <c r="E156" s="22"/>
      <c r="F156" s="75"/>
      <c r="G156" s="75"/>
      <c r="H156" s="20"/>
      <c r="I156" s="21"/>
    </row>
    <row r="157" spans="2:9" x14ac:dyDescent="0.3">
      <c r="B157" s="53"/>
      <c r="C157" s="14"/>
      <c r="D157" s="17"/>
      <c r="E157" s="22"/>
      <c r="F157" s="75"/>
      <c r="G157" s="75"/>
      <c r="H157" s="20"/>
      <c r="I157" s="21"/>
    </row>
    <row r="158" spans="2:9" x14ac:dyDescent="0.3">
      <c r="B158" s="52"/>
      <c r="C158" s="16"/>
      <c r="D158" s="17"/>
      <c r="E158" s="22"/>
      <c r="F158" s="75"/>
      <c r="G158" s="75"/>
      <c r="H158" s="20"/>
      <c r="I158" s="21"/>
    </row>
    <row r="159" spans="2:9" x14ac:dyDescent="0.3">
      <c r="B159" s="53"/>
      <c r="C159" s="14"/>
      <c r="D159" s="17"/>
      <c r="E159" s="22"/>
      <c r="F159" s="75"/>
      <c r="G159" s="75"/>
      <c r="H159" s="20"/>
      <c r="I159" s="21"/>
    </row>
    <row r="160" spans="2:9" x14ac:dyDescent="0.3">
      <c r="B160" s="53"/>
      <c r="C160" s="14"/>
      <c r="D160" s="17"/>
      <c r="E160" s="22"/>
      <c r="F160" s="75"/>
      <c r="G160" s="75"/>
      <c r="H160" s="20"/>
      <c r="I160" s="21"/>
    </row>
    <row r="161" spans="2:9" x14ac:dyDescent="0.3">
      <c r="B161" s="53"/>
      <c r="C161" s="14"/>
      <c r="D161" s="17"/>
      <c r="E161" s="22"/>
      <c r="F161" s="75"/>
      <c r="G161" s="75"/>
      <c r="H161" s="20"/>
      <c r="I161" s="21"/>
    </row>
    <row r="162" spans="2:9" x14ac:dyDescent="0.3">
      <c r="B162" s="53"/>
      <c r="C162" s="14"/>
      <c r="D162" s="17"/>
      <c r="E162" s="22"/>
      <c r="F162" s="75"/>
      <c r="G162" s="75"/>
      <c r="H162" s="20"/>
      <c r="I162" s="21"/>
    </row>
    <row r="163" spans="2:9" x14ac:dyDescent="0.3">
      <c r="B163" s="53"/>
      <c r="C163" s="14"/>
      <c r="D163" s="17"/>
      <c r="E163" s="22"/>
      <c r="F163" s="75"/>
      <c r="G163" s="75"/>
      <c r="H163" s="20"/>
      <c r="I163" s="21"/>
    </row>
    <row r="164" spans="2:9" x14ac:dyDescent="0.3">
      <c r="B164" s="53"/>
      <c r="C164" s="14"/>
      <c r="D164" s="17"/>
      <c r="E164" s="22"/>
      <c r="F164" s="75"/>
      <c r="G164" s="75"/>
      <c r="H164" s="20"/>
      <c r="I164" s="21"/>
    </row>
    <row r="165" spans="2:9" x14ac:dyDescent="0.3">
      <c r="B165" s="53"/>
      <c r="C165" s="14"/>
      <c r="D165" s="17"/>
      <c r="E165" s="22"/>
      <c r="F165" s="75"/>
      <c r="G165" s="75"/>
      <c r="H165" s="20"/>
      <c r="I165" s="21"/>
    </row>
    <row r="166" spans="2:9" x14ac:dyDescent="0.3">
      <c r="B166" s="53"/>
      <c r="C166" s="14"/>
      <c r="D166" s="17"/>
      <c r="E166" s="22"/>
      <c r="F166" s="75"/>
      <c r="G166" s="75"/>
      <c r="H166" s="20"/>
      <c r="I166" s="21"/>
    </row>
    <row r="167" spans="2:9" x14ac:dyDescent="0.3">
      <c r="B167" s="53"/>
      <c r="C167" s="14"/>
      <c r="D167" s="17"/>
      <c r="E167" s="22"/>
      <c r="F167" s="75"/>
      <c r="G167" s="75"/>
      <c r="H167" s="20"/>
      <c r="I167" s="19"/>
    </row>
    <row r="168" spans="2:9" x14ac:dyDescent="0.3">
      <c r="B168" s="53"/>
      <c r="C168" s="14"/>
      <c r="D168" s="17"/>
      <c r="E168" s="22"/>
      <c r="F168" s="75"/>
      <c r="G168" s="75"/>
      <c r="H168" s="20"/>
      <c r="I168" s="21"/>
    </row>
    <row r="169" spans="2:9" x14ac:dyDescent="0.3">
      <c r="B169" s="52"/>
      <c r="C169" s="16"/>
      <c r="D169" s="17"/>
      <c r="E169" s="22"/>
      <c r="F169" s="76"/>
      <c r="G169" s="75"/>
      <c r="H169" s="18"/>
      <c r="I169" s="21"/>
    </row>
    <row r="170" spans="2:9" x14ac:dyDescent="0.3">
      <c r="B170" s="53"/>
      <c r="C170" s="14"/>
      <c r="D170" s="17"/>
      <c r="E170" s="22"/>
      <c r="F170" s="75"/>
      <c r="G170" s="75"/>
      <c r="H170" s="20"/>
      <c r="I170" s="21"/>
    </row>
    <row r="171" spans="2:9" x14ac:dyDescent="0.3">
      <c r="B171" s="53"/>
      <c r="C171" s="14"/>
      <c r="D171" s="17"/>
      <c r="E171" s="22"/>
      <c r="F171" s="75"/>
      <c r="G171" s="75"/>
      <c r="H171" s="20"/>
      <c r="I171" s="21"/>
    </row>
    <row r="172" spans="2:9" x14ac:dyDescent="0.3">
      <c r="B172" s="53"/>
      <c r="C172" s="14"/>
      <c r="D172" s="17"/>
      <c r="E172" s="22"/>
      <c r="F172" s="75"/>
      <c r="G172" s="75"/>
      <c r="H172" s="20"/>
      <c r="I172" s="21"/>
    </row>
    <row r="173" spans="2:9" x14ac:dyDescent="0.3">
      <c r="B173" s="53"/>
      <c r="C173" s="14"/>
      <c r="D173" s="17"/>
      <c r="E173" s="22"/>
      <c r="F173" s="75"/>
      <c r="G173" s="75"/>
      <c r="H173" s="20"/>
      <c r="I173" s="21"/>
    </row>
    <row r="174" spans="2:9" x14ac:dyDescent="0.3">
      <c r="B174" s="53"/>
      <c r="C174" s="14"/>
      <c r="D174" s="17"/>
      <c r="E174" s="22"/>
      <c r="F174" s="75"/>
      <c r="G174" s="75"/>
      <c r="H174" s="20"/>
      <c r="I174" s="21"/>
    </row>
    <row r="175" spans="2:9" x14ac:dyDescent="0.3">
      <c r="B175" s="53"/>
      <c r="C175" s="14"/>
      <c r="D175" s="17"/>
      <c r="E175" s="22"/>
      <c r="F175" s="75"/>
      <c r="G175" s="75"/>
      <c r="H175" s="20"/>
      <c r="I175" s="21"/>
    </row>
    <row r="176" spans="2:9" x14ac:dyDescent="0.3">
      <c r="B176" s="52"/>
      <c r="C176" s="16"/>
      <c r="D176" s="17"/>
      <c r="E176" s="22"/>
      <c r="F176" s="75"/>
      <c r="G176" s="75"/>
      <c r="H176" s="20"/>
      <c r="I176" s="21"/>
    </row>
    <row r="177" spans="2:9" x14ac:dyDescent="0.3">
      <c r="B177" s="53"/>
      <c r="C177" s="14"/>
      <c r="D177" s="17"/>
      <c r="E177" s="22"/>
      <c r="F177" s="75"/>
      <c r="G177" s="75"/>
      <c r="H177" s="20"/>
      <c r="I177" s="21"/>
    </row>
    <row r="178" spans="2:9" x14ac:dyDescent="0.3">
      <c r="B178" s="53"/>
      <c r="C178" s="14"/>
      <c r="D178" s="17"/>
      <c r="E178" s="22"/>
      <c r="F178" s="75"/>
      <c r="G178" s="75"/>
      <c r="H178" s="20"/>
      <c r="I178" s="21"/>
    </row>
    <row r="179" spans="2:9" x14ac:dyDescent="0.3">
      <c r="B179" s="53"/>
      <c r="C179" s="14"/>
      <c r="D179" s="17"/>
      <c r="E179" s="22"/>
      <c r="F179" s="75"/>
      <c r="G179" s="75"/>
      <c r="H179" s="20"/>
      <c r="I179" s="21"/>
    </row>
    <row r="180" spans="2:9" x14ac:dyDescent="0.3">
      <c r="B180" s="53"/>
      <c r="C180" s="14"/>
      <c r="D180" s="17"/>
      <c r="E180" s="22"/>
      <c r="F180" s="75"/>
      <c r="G180" s="75"/>
      <c r="H180" s="20"/>
      <c r="I180" s="21"/>
    </row>
    <row r="181" spans="2:9" x14ac:dyDescent="0.3">
      <c r="B181" s="53"/>
      <c r="C181" s="14"/>
      <c r="D181" s="17"/>
      <c r="E181" s="22"/>
      <c r="F181" s="75"/>
      <c r="G181" s="75"/>
      <c r="H181" s="20"/>
      <c r="I181" s="21"/>
    </row>
    <row r="182" spans="2:9" x14ac:dyDescent="0.3">
      <c r="B182" s="54"/>
      <c r="C182" s="16"/>
      <c r="D182" s="17"/>
      <c r="E182" s="22"/>
      <c r="F182" s="75"/>
      <c r="G182" s="75"/>
      <c r="H182" s="20"/>
      <c r="I182" s="21"/>
    </row>
    <row r="183" spans="2:9" x14ac:dyDescent="0.3">
      <c r="B183" s="53"/>
      <c r="C183" s="14"/>
      <c r="D183" s="17"/>
      <c r="E183" s="22"/>
      <c r="F183" s="75"/>
      <c r="G183" s="75"/>
      <c r="H183" s="20"/>
      <c r="I183" s="21"/>
    </row>
    <row r="184" spans="2:9" x14ac:dyDescent="0.3">
      <c r="B184" s="53"/>
      <c r="C184" s="14"/>
      <c r="D184" s="17"/>
      <c r="E184" s="22"/>
      <c r="F184" s="75"/>
      <c r="G184" s="75"/>
      <c r="H184" s="20"/>
      <c r="I184" s="21"/>
    </row>
    <row r="185" spans="2:9" x14ac:dyDescent="0.3">
      <c r="B185" s="53"/>
      <c r="C185" s="14"/>
      <c r="D185" s="17"/>
      <c r="E185" s="22"/>
      <c r="F185" s="75"/>
      <c r="G185" s="75"/>
      <c r="H185" s="20"/>
      <c r="I185" s="21"/>
    </row>
    <row r="186" spans="2:9" x14ac:dyDescent="0.3">
      <c r="B186" s="53"/>
      <c r="C186" s="14"/>
      <c r="D186" s="17"/>
      <c r="E186" s="22"/>
      <c r="F186" s="75"/>
      <c r="G186" s="75"/>
      <c r="H186" s="20"/>
      <c r="I186" s="21"/>
    </row>
    <row r="187" spans="2:9" x14ac:dyDescent="0.3">
      <c r="B187" s="53"/>
      <c r="C187" s="14"/>
      <c r="D187" s="17"/>
      <c r="E187" s="22"/>
      <c r="F187" s="75"/>
      <c r="G187" s="75"/>
      <c r="H187" s="20"/>
      <c r="I187" s="21"/>
    </row>
    <row r="188" spans="2:9" x14ac:dyDescent="0.3">
      <c r="B188" s="55"/>
      <c r="C188" s="83"/>
      <c r="D188" s="17"/>
      <c r="E188" s="22"/>
      <c r="F188" s="75"/>
      <c r="G188" s="75"/>
      <c r="H188" s="20"/>
      <c r="I188" s="21"/>
    </row>
    <row r="189" spans="2:9" x14ac:dyDescent="0.3">
      <c r="B189" s="53"/>
      <c r="C189" s="14"/>
      <c r="D189" s="17"/>
      <c r="E189" s="22"/>
      <c r="F189" s="75"/>
      <c r="G189" s="75"/>
      <c r="H189" s="20"/>
      <c r="I189" s="21"/>
    </row>
    <row r="190" spans="2:9" x14ac:dyDescent="0.3">
      <c r="B190" s="53"/>
      <c r="C190" s="14"/>
      <c r="D190" s="17"/>
      <c r="E190" s="22"/>
      <c r="F190" s="75"/>
      <c r="G190" s="75"/>
      <c r="H190" s="20"/>
      <c r="I190" s="21"/>
    </row>
    <row r="191" spans="2:9" x14ac:dyDescent="0.3">
      <c r="B191" s="54"/>
      <c r="C191" s="16"/>
      <c r="D191" s="17"/>
      <c r="E191" s="22"/>
      <c r="F191" s="75"/>
      <c r="G191" s="75"/>
      <c r="H191" s="20"/>
      <c r="I191" s="21"/>
    </row>
    <row r="192" spans="2:9" x14ac:dyDescent="0.3">
      <c r="B192" s="52"/>
      <c r="C192" s="16"/>
      <c r="D192" s="17"/>
      <c r="E192" s="22"/>
      <c r="F192" s="75"/>
      <c r="G192" s="75"/>
      <c r="H192" s="20"/>
      <c r="I192" s="21"/>
    </row>
    <row r="193" spans="2:9" x14ac:dyDescent="0.3">
      <c r="B193" s="53"/>
      <c r="C193" s="14"/>
      <c r="D193" s="17"/>
      <c r="E193" s="22"/>
      <c r="F193" s="75"/>
      <c r="G193" s="75"/>
      <c r="H193" s="20"/>
      <c r="I193" s="21"/>
    </row>
    <row r="194" spans="2:9" x14ac:dyDescent="0.3">
      <c r="B194" s="53"/>
      <c r="C194" s="14"/>
      <c r="D194" s="17"/>
      <c r="E194" s="22"/>
      <c r="F194" s="75"/>
      <c r="G194" s="75"/>
      <c r="H194" s="20"/>
      <c r="I194" s="21"/>
    </row>
    <row r="195" spans="2:9" x14ac:dyDescent="0.3">
      <c r="B195" s="53"/>
      <c r="C195" s="14"/>
      <c r="D195" s="17"/>
      <c r="E195" s="22"/>
      <c r="F195" s="75"/>
      <c r="G195" s="75"/>
      <c r="H195" s="20"/>
      <c r="I195" s="21"/>
    </row>
    <row r="196" spans="2:9" x14ac:dyDescent="0.3">
      <c r="B196" s="53"/>
      <c r="C196" s="14"/>
      <c r="D196" s="17"/>
      <c r="E196" s="22"/>
      <c r="F196" s="75"/>
      <c r="G196" s="75"/>
      <c r="H196" s="20"/>
      <c r="I196" s="21"/>
    </row>
    <row r="197" spans="2:9" x14ac:dyDescent="0.3">
      <c r="B197" s="53"/>
      <c r="C197" s="14"/>
      <c r="D197" s="17"/>
      <c r="E197" s="22"/>
      <c r="F197" s="75"/>
      <c r="G197" s="75"/>
      <c r="H197" s="20"/>
      <c r="I197" s="21"/>
    </row>
    <row r="198" spans="2:9" x14ac:dyDescent="0.3">
      <c r="B198" s="53"/>
      <c r="C198" s="14"/>
      <c r="D198" s="17"/>
      <c r="E198" s="22"/>
      <c r="F198" s="75"/>
      <c r="G198" s="75"/>
      <c r="H198" s="20"/>
      <c r="I198" s="21"/>
    </row>
    <row r="199" spans="2:9" x14ac:dyDescent="0.3">
      <c r="B199" s="53"/>
      <c r="C199" s="14"/>
      <c r="D199" s="17"/>
      <c r="E199" s="22"/>
      <c r="F199" s="75"/>
      <c r="G199" s="75"/>
      <c r="H199" s="20"/>
      <c r="I199" s="21"/>
    </row>
    <row r="200" spans="2:9" x14ac:dyDescent="0.3">
      <c r="B200" s="53"/>
      <c r="C200" s="14"/>
      <c r="D200" s="17"/>
      <c r="E200" s="22"/>
      <c r="F200" s="75"/>
      <c r="G200" s="75"/>
      <c r="H200" s="20"/>
      <c r="I200" s="21"/>
    </row>
    <row r="201" spans="2:9" x14ac:dyDescent="0.3">
      <c r="B201" s="53"/>
      <c r="C201" s="14"/>
      <c r="D201" s="17"/>
      <c r="E201" s="22"/>
      <c r="F201" s="75"/>
      <c r="G201" s="75"/>
      <c r="H201" s="20"/>
      <c r="I201" s="21"/>
    </row>
    <row r="202" spans="2:9" x14ac:dyDescent="0.3">
      <c r="B202" s="52"/>
      <c r="C202" s="16"/>
      <c r="D202" s="17"/>
      <c r="E202" s="22"/>
      <c r="F202" s="75"/>
      <c r="G202" s="75"/>
      <c r="H202" s="20"/>
      <c r="I202" s="21"/>
    </row>
    <row r="203" spans="2:9" x14ac:dyDescent="0.3">
      <c r="B203" s="53"/>
      <c r="C203" s="14"/>
      <c r="D203" s="17"/>
      <c r="E203" s="22"/>
      <c r="F203" s="75"/>
      <c r="G203" s="75"/>
      <c r="H203" s="20"/>
      <c r="I203" s="19"/>
    </row>
    <row r="204" spans="2:9" x14ac:dyDescent="0.3">
      <c r="B204" s="53"/>
      <c r="C204" s="14"/>
      <c r="D204" s="17"/>
      <c r="E204" s="22"/>
      <c r="F204" s="75"/>
      <c r="G204" s="75"/>
      <c r="H204" s="20"/>
      <c r="I204" s="21"/>
    </row>
    <row r="205" spans="2:9" x14ac:dyDescent="0.3">
      <c r="B205" s="53"/>
      <c r="C205" s="14"/>
      <c r="D205" s="17"/>
      <c r="E205" s="22"/>
      <c r="F205" s="76"/>
      <c r="G205" s="75"/>
      <c r="H205" s="18"/>
      <c r="I205" s="21"/>
    </row>
    <row r="206" spans="2:9" x14ac:dyDescent="0.3">
      <c r="B206" s="53"/>
      <c r="C206" s="14"/>
      <c r="D206" s="17"/>
      <c r="E206" s="22"/>
      <c r="F206" s="75"/>
      <c r="G206" s="75"/>
      <c r="H206" s="20"/>
      <c r="I206" s="21"/>
    </row>
    <row r="207" spans="2:9" x14ac:dyDescent="0.3">
      <c r="B207" s="53"/>
      <c r="C207" s="14"/>
      <c r="D207" s="17"/>
      <c r="E207" s="22"/>
      <c r="F207" s="75"/>
      <c r="G207" s="75"/>
      <c r="H207" s="20"/>
      <c r="I207" s="21"/>
    </row>
    <row r="208" spans="2:9" x14ac:dyDescent="0.3">
      <c r="B208" s="53"/>
      <c r="C208" s="14"/>
      <c r="D208" s="17"/>
      <c r="E208" s="22"/>
      <c r="F208" s="75"/>
      <c r="G208" s="75"/>
      <c r="H208" s="20"/>
      <c r="I208" s="21"/>
    </row>
    <row r="209" spans="2:9" x14ac:dyDescent="0.3">
      <c r="B209" s="53"/>
      <c r="C209" s="14"/>
      <c r="D209" s="17"/>
      <c r="E209" s="22"/>
      <c r="F209" s="75"/>
      <c r="G209" s="75"/>
      <c r="H209" s="20"/>
      <c r="I209" s="21"/>
    </row>
    <row r="210" spans="2:9" x14ac:dyDescent="0.3">
      <c r="B210" s="53"/>
      <c r="C210" s="14"/>
      <c r="D210" s="17"/>
      <c r="E210" s="22"/>
      <c r="F210" s="75"/>
      <c r="G210" s="75"/>
      <c r="H210" s="20"/>
      <c r="I210" s="21"/>
    </row>
    <row r="211" spans="2:9" x14ac:dyDescent="0.3">
      <c r="B211" s="53"/>
      <c r="C211" s="14"/>
      <c r="D211" s="17"/>
      <c r="E211" s="22"/>
      <c r="F211" s="75"/>
      <c r="G211" s="75"/>
      <c r="H211" s="20"/>
      <c r="I211" s="21"/>
    </row>
    <row r="212" spans="2:9" x14ac:dyDescent="0.3">
      <c r="B212" s="53"/>
      <c r="C212" s="14"/>
      <c r="D212" s="17"/>
      <c r="E212" s="22"/>
      <c r="F212" s="75"/>
      <c r="G212" s="75"/>
      <c r="H212" s="20"/>
      <c r="I212" s="21"/>
    </row>
    <row r="213" spans="2:9" x14ac:dyDescent="0.3">
      <c r="B213" s="53"/>
      <c r="C213" s="14"/>
      <c r="D213" s="17"/>
      <c r="E213" s="22"/>
      <c r="F213" s="75"/>
      <c r="G213" s="75"/>
      <c r="H213" s="20"/>
      <c r="I213" s="21"/>
    </row>
    <row r="214" spans="2:9" x14ac:dyDescent="0.3">
      <c r="B214" s="53"/>
      <c r="C214" s="14"/>
      <c r="D214" s="17"/>
      <c r="E214" s="22"/>
      <c r="F214" s="75"/>
      <c r="G214" s="75"/>
      <c r="H214" s="20"/>
      <c r="I214" s="21"/>
    </row>
    <row r="215" spans="2:9" x14ac:dyDescent="0.3">
      <c r="B215" s="53"/>
      <c r="C215" s="14"/>
      <c r="D215" s="17"/>
      <c r="E215" s="22"/>
      <c r="F215" s="75"/>
      <c r="G215" s="75"/>
      <c r="H215" s="20"/>
      <c r="I215" s="21"/>
    </row>
    <row r="216" spans="2:9" x14ac:dyDescent="0.3">
      <c r="B216" s="53"/>
      <c r="C216" s="14"/>
      <c r="D216" s="17"/>
      <c r="E216" s="22"/>
      <c r="F216" s="75"/>
      <c r="G216" s="75"/>
      <c r="H216" s="20"/>
      <c r="I216" s="21"/>
    </row>
    <row r="217" spans="2:9" x14ac:dyDescent="0.3">
      <c r="B217" s="53"/>
      <c r="C217" s="14"/>
      <c r="D217" s="17"/>
      <c r="E217" s="22"/>
      <c r="F217" s="75"/>
      <c r="G217" s="75"/>
      <c r="H217" s="20"/>
      <c r="I217" s="21"/>
    </row>
    <row r="218" spans="2:9" x14ac:dyDescent="0.3">
      <c r="B218" s="53"/>
      <c r="C218" s="14"/>
      <c r="D218" s="17"/>
      <c r="E218" s="22"/>
      <c r="F218" s="75"/>
      <c r="G218" s="75"/>
      <c r="H218" s="20"/>
      <c r="I218" s="21"/>
    </row>
    <row r="219" spans="2:9" x14ac:dyDescent="0.3">
      <c r="B219" s="52"/>
      <c r="C219" s="16"/>
      <c r="D219" s="17"/>
      <c r="E219" s="22"/>
      <c r="F219" s="75"/>
      <c r="G219" s="75"/>
      <c r="H219" s="20"/>
      <c r="I219" s="21"/>
    </row>
    <row r="220" spans="2:9" x14ac:dyDescent="0.3">
      <c r="B220" s="53"/>
      <c r="C220" s="14"/>
      <c r="D220" s="17"/>
      <c r="E220" s="22"/>
      <c r="F220" s="75"/>
      <c r="G220" s="75"/>
      <c r="H220" s="20"/>
      <c r="I220" s="21"/>
    </row>
    <row r="221" spans="2:9" x14ac:dyDescent="0.3">
      <c r="B221" s="53"/>
      <c r="C221" s="14"/>
      <c r="D221" s="17"/>
      <c r="E221" s="22"/>
      <c r="F221" s="75"/>
      <c r="G221" s="75"/>
      <c r="H221" s="20"/>
      <c r="I221" s="21"/>
    </row>
    <row r="222" spans="2:9" x14ac:dyDescent="0.3">
      <c r="B222" s="53"/>
      <c r="C222" s="14"/>
      <c r="D222" s="17"/>
      <c r="E222" s="22"/>
      <c r="F222" s="75"/>
      <c r="G222" s="75"/>
      <c r="H222" s="20"/>
      <c r="I222" s="21"/>
    </row>
    <row r="223" spans="2:9" x14ac:dyDescent="0.3">
      <c r="B223" s="53"/>
      <c r="C223" s="14"/>
      <c r="D223" s="17"/>
      <c r="E223" s="22"/>
      <c r="F223" s="75"/>
      <c r="G223" s="75"/>
      <c r="H223" s="20"/>
      <c r="I223" s="21"/>
    </row>
    <row r="224" spans="2:9" x14ac:dyDescent="0.3">
      <c r="B224" s="53"/>
      <c r="C224" s="14"/>
      <c r="D224" s="17"/>
      <c r="E224" s="22"/>
      <c r="F224" s="75"/>
      <c r="G224" s="75"/>
      <c r="H224" s="20"/>
      <c r="I224" s="21"/>
    </row>
    <row r="225" spans="2:9" x14ac:dyDescent="0.3">
      <c r="B225" s="53"/>
      <c r="C225" s="14"/>
      <c r="D225" s="17"/>
      <c r="E225" s="22"/>
      <c r="F225" s="75"/>
      <c r="G225" s="75"/>
      <c r="H225" s="20"/>
      <c r="I225" s="21"/>
    </row>
    <row r="226" spans="2:9" x14ac:dyDescent="0.3">
      <c r="B226" s="53"/>
      <c r="C226" s="14"/>
      <c r="D226" s="17"/>
      <c r="E226" s="22"/>
      <c r="F226" s="75"/>
      <c r="G226" s="75"/>
      <c r="H226" s="20"/>
      <c r="I226" s="21"/>
    </row>
    <row r="227" spans="2:9" x14ac:dyDescent="0.3">
      <c r="B227" s="53"/>
      <c r="C227" s="14"/>
      <c r="D227" s="17"/>
      <c r="E227" s="22"/>
      <c r="F227" s="75"/>
      <c r="G227" s="75"/>
      <c r="H227" s="20"/>
      <c r="I227" s="21"/>
    </row>
    <row r="228" spans="2:9" x14ac:dyDescent="0.3">
      <c r="B228" s="53"/>
      <c r="C228" s="14"/>
      <c r="D228" s="17"/>
      <c r="E228" s="22"/>
      <c r="F228" s="75"/>
      <c r="G228" s="75"/>
      <c r="H228" s="20"/>
      <c r="I228" s="21"/>
    </row>
    <row r="229" spans="2:9" x14ac:dyDescent="0.3">
      <c r="B229" s="53"/>
      <c r="C229" s="14"/>
      <c r="D229" s="17"/>
      <c r="E229" s="22"/>
      <c r="F229" s="75"/>
      <c r="G229" s="75"/>
      <c r="H229" s="20"/>
      <c r="I229" s="21"/>
    </row>
    <row r="230" spans="2:9" x14ac:dyDescent="0.3">
      <c r="B230" s="53"/>
      <c r="C230" s="14"/>
      <c r="D230" s="17"/>
      <c r="E230" s="22"/>
      <c r="F230" s="75"/>
      <c r="G230" s="75"/>
      <c r="H230" s="20"/>
      <c r="I230" s="21"/>
    </row>
    <row r="231" spans="2:9" x14ac:dyDescent="0.3">
      <c r="B231" s="53"/>
      <c r="C231" s="14"/>
      <c r="D231" s="17"/>
      <c r="E231" s="22"/>
      <c r="F231" s="75"/>
      <c r="G231" s="75"/>
      <c r="H231" s="20"/>
      <c r="I231" s="21"/>
    </row>
    <row r="232" spans="2:9" x14ac:dyDescent="0.3">
      <c r="B232" s="53"/>
      <c r="C232" s="14"/>
      <c r="D232" s="17"/>
      <c r="E232" s="22"/>
      <c r="F232" s="75"/>
      <c r="G232" s="75"/>
      <c r="H232" s="20"/>
      <c r="I232" s="21"/>
    </row>
    <row r="233" spans="2:9" x14ac:dyDescent="0.3">
      <c r="B233" s="53"/>
      <c r="C233" s="14"/>
      <c r="D233" s="17"/>
      <c r="E233" s="22"/>
      <c r="F233" s="75"/>
      <c r="G233" s="75"/>
      <c r="H233" s="20"/>
      <c r="I233" s="21"/>
    </row>
    <row r="234" spans="2:9" x14ac:dyDescent="0.3">
      <c r="B234" s="53"/>
      <c r="C234" s="14"/>
      <c r="D234" s="17"/>
      <c r="E234" s="22"/>
      <c r="F234" s="75"/>
      <c r="G234" s="75"/>
      <c r="H234" s="20"/>
      <c r="I234" s="21"/>
    </row>
    <row r="235" spans="2:9" x14ac:dyDescent="0.3">
      <c r="B235" s="53"/>
      <c r="C235" s="14"/>
      <c r="D235" s="17"/>
      <c r="E235" s="22"/>
      <c r="F235" s="75"/>
      <c r="G235" s="75"/>
      <c r="H235" s="20"/>
      <c r="I235" s="21"/>
    </row>
    <row r="236" spans="2:9" x14ac:dyDescent="0.3">
      <c r="B236" s="52"/>
      <c r="C236" s="16"/>
      <c r="D236" s="17"/>
      <c r="E236" s="22"/>
      <c r="F236" s="75"/>
      <c r="G236" s="75"/>
      <c r="H236" s="20"/>
      <c r="I236" s="21"/>
    </row>
    <row r="237" spans="2:9" x14ac:dyDescent="0.3">
      <c r="B237" s="53"/>
      <c r="C237" s="14"/>
      <c r="D237" s="17"/>
      <c r="E237" s="22"/>
      <c r="F237" s="75"/>
      <c r="G237" s="75"/>
      <c r="H237" s="20"/>
      <c r="I237" s="21"/>
    </row>
    <row r="238" spans="2:9" x14ac:dyDescent="0.3">
      <c r="B238" s="53"/>
      <c r="C238" s="14"/>
      <c r="D238" s="17"/>
      <c r="E238" s="22"/>
      <c r="F238" s="75"/>
      <c r="G238" s="75"/>
      <c r="H238" s="20"/>
      <c r="I238" s="21"/>
    </row>
    <row r="239" spans="2:9" x14ac:dyDescent="0.3">
      <c r="B239" s="53"/>
      <c r="C239" s="14"/>
      <c r="D239" s="17"/>
      <c r="E239" s="22"/>
      <c r="F239" s="75"/>
      <c r="G239" s="75"/>
      <c r="H239" s="20"/>
      <c r="I239" s="19"/>
    </row>
    <row r="240" spans="2:9" x14ac:dyDescent="0.3">
      <c r="B240" s="53"/>
      <c r="C240" s="14"/>
      <c r="D240" s="17"/>
      <c r="E240" s="22"/>
      <c r="F240" s="75"/>
      <c r="G240" s="75"/>
      <c r="H240" s="20"/>
      <c r="I240" s="21"/>
    </row>
    <row r="241" spans="2:9" x14ac:dyDescent="0.3">
      <c r="B241" s="53"/>
      <c r="C241" s="14"/>
      <c r="D241" s="17"/>
      <c r="E241" s="22"/>
      <c r="F241" s="76"/>
      <c r="G241" s="75"/>
      <c r="H241" s="18"/>
      <c r="I241" s="21"/>
    </row>
    <row r="242" spans="2:9" x14ac:dyDescent="0.3">
      <c r="B242" s="53"/>
      <c r="C242" s="14"/>
      <c r="D242" s="17"/>
      <c r="E242" s="22"/>
      <c r="F242" s="75"/>
      <c r="G242" s="75"/>
      <c r="H242" s="20"/>
      <c r="I242" s="21"/>
    </row>
    <row r="243" spans="2:9" x14ac:dyDescent="0.3">
      <c r="B243" s="53"/>
      <c r="C243" s="14"/>
      <c r="D243" s="17"/>
      <c r="E243" s="22"/>
      <c r="F243" s="75"/>
      <c r="G243" s="75"/>
      <c r="H243" s="20"/>
      <c r="I243" s="21"/>
    </row>
    <row r="244" spans="2:9" x14ac:dyDescent="0.3">
      <c r="B244" s="53"/>
      <c r="C244" s="14"/>
      <c r="D244" s="17"/>
      <c r="E244" s="22"/>
      <c r="F244" s="75"/>
      <c r="G244" s="75"/>
      <c r="H244" s="20"/>
      <c r="I244" s="21"/>
    </row>
    <row r="245" spans="2:9" x14ac:dyDescent="0.3">
      <c r="B245" s="52"/>
      <c r="C245" s="16"/>
      <c r="D245" s="17"/>
      <c r="E245" s="22"/>
      <c r="F245" s="75"/>
      <c r="G245" s="75"/>
      <c r="H245" s="20"/>
      <c r="I245" s="21"/>
    </row>
    <row r="246" spans="2:9" x14ac:dyDescent="0.3">
      <c r="B246" s="53"/>
      <c r="C246" s="14"/>
      <c r="D246" s="17"/>
      <c r="E246" s="22"/>
      <c r="F246" s="75"/>
      <c r="G246" s="75"/>
      <c r="H246" s="20"/>
      <c r="I246" s="21"/>
    </row>
    <row r="247" spans="2:9" x14ac:dyDescent="0.3">
      <c r="B247" s="53"/>
      <c r="C247" s="14"/>
      <c r="D247" s="17"/>
      <c r="E247" s="22"/>
      <c r="F247" s="75"/>
      <c r="G247" s="75"/>
      <c r="H247" s="20"/>
      <c r="I247" s="21"/>
    </row>
    <row r="248" spans="2:9" x14ac:dyDescent="0.3">
      <c r="B248" s="53"/>
      <c r="C248" s="14"/>
      <c r="D248" s="17"/>
      <c r="E248" s="22"/>
      <c r="F248" s="75"/>
      <c r="G248" s="75"/>
      <c r="H248" s="20"/>
      <c r="I248" s="21"/>
    </row>
    <row r="249" spans="2:9" x14ac:dyDescent="0.3">
      <c r="B249" s="53"/>
      <c r="C249" s="14"/>
      <c r="D249" s="17"/>
      <c r="E249" s="22"/>
      <c r="F249" s="75"/>
      <c r="G249" s="75"/>
      <c r="H249" s="20"/>
      <c r="I249" s="21"/>
    </row>
    <row r="250" spans="2:9" x14ac:dyDescent="0.3">
      <c r="B250" s="53"/>
      <c r="C250" s="14"/>
      <c r="D250" s="17"/>
      <c r="E250" s="22"/>
      <c r="F250" s="75"/>
      <c r="G250" s="75"/>
      <c r="H250" s="20"/>
      <c r="I250" s="21"/>
    </row>
    <row r="251" spans="2:9" x14ac:dyDescent="0.3">
      <c r="B251" s="53"/>
      <c r="C251" s="14"/>
      <c r="D251" s="17"/>
      <c r="E251" s="22"/>
      <c r="F251" s="75"/>
      <c r="G251" s="75"/>
      <c r="H251" s="20"/>
      <c r="I251" s="21"/>
    </row>
    <row r="252" spans="2:9" x14ac:dyDescent="0.3">
      <c r="B252" s="53"/>
      <c r="C252" s="14"/>
      <c r="D252" s="17"/>
      <c r="E252" s="22"/>
      <c r="F252" s="75"/>
      <c r="G252" s="75"/>
      <c r="H252" s="20"/>
      <c r="I252" s="21"/>
    </row>
    <row r="253" spans="2:9" x14ac:dyDescent="0.3">
      <c r="B253" s="53"/>
      <c r="C253" s="14"/>
      <c r="D253" s="17"/>
      <c r="E253" s="22"/>
      <c r="F253" s="75"/>
      <c r="G253" s="75"/>
      <c r="H253" s="20"/>
      <c r="I253" s="21"/>
    </row>
    <row r="254" spans="2:9" x14ac:dyDescent="0.3">
      <c r="B254" s="53"/>
      <c r="C254" s="14"/>
      <c r="D254" s="17"/>
      <c r="E254" s="22"/>
      <c r="F254" s="75"/>
      <c r="G254" s="75"/>
      <c r="H254" s="20"/>
      <c r="I254" s="19"/>
    </row>
    <row r="255" spans="2:9" x14ac:dyDescent="0.3">
      <c r="B255" s="53"/>
      <c r="C255" s="14"/>
      <c r="D255" s="17"/>
      <c r="E255" s="22"/>
      <c r="F255" s="75"/>
      <c r="G255" s="75"/>
      <c r="H255" s="20"/>
      <c r="I255" s="21"/>
    </row>
    <row r="256" spans="2:9" x14ac:dyDescent="0.3">
      <c r="B256" s="53"/>
      <c r="C256" s="14"/>
      <c r="D256" s="17"/>
      <c r="E256" s="22"/>
      <c r="F256" s="76"/>
      <c r="G256" s="75"/>
      <c r="H256" s="18"/>
      <c r="I256" s="21"/>
    </row>
    <row r="257" spans="2:9" x14ac:dyDescent="0.3">
      <c r="B257" s="54"/>
      <c r="C257" s="16"/>
      <c r="D257" s="17"/>
      <c r="E257" s="22"/>
      <c r="F257" s="75"/>
      <c r="G257" s="75"/>
      <c r="H257" s="20"/>
      <c r="I257" s="21"/>
    </row>
    <row r="258" spans="2:9" x14ac:dyDescent="0.3">
      <c r="B258" s="53"/>
      <c r="C258" s="14"/>
      <c r="D258" s="17"/>
      <c r="E258" s="22"/>
      <c r="F258" s="75"/>
      <c r="G258" s="75"/>
      <c r="H258" s="20"/>
      <c r="I258" s="21"/>
    </row>
    <row r="259" spans="2:9" x14ac:dyDescent="0.3">
      <c r="B259" s="53"/>
      <c r="C259" s="14"/>
      <c r="D259" s="17"/>
      <c r="E259" s="22"/>
      <c r="F259" s="75"/>
      <c r="G259" s="75"/>
      <c r="H259" s="20"/>
      <c r="I259" s="21"/>
    </row>
    <row r="260" spans="2:9" x14ac:dyDescent="0.3">
      <c r="B260" s="53"/>
      <c r="C260" s="14"/>
      <c r="D260" s="17"/>
      <c r="E260" s="22"/>
      <c r="F260" s="75"/>
      <c r="G260" s="75"/>
      <c r="H260" s="20"/>
      <c r="I260" s="21"/>
    </row>
    <row r="261" spans="2:9" x14ac:dyDescent="0.3">
      <c r="B261" s="53"/>
      <c r="C261" s="14"/>
      <c r="D261" s="17"/>
      <c r="E261" s="22"/>
      <c r="F261" s="75"/>
      <c r="G261" s="75"/>
      <c r="H261" s="20"/>
      <c r="I261" s="21"/>
    </row>
    <row r="262" spans="2:9" x14ac:dyDescent="0.3">
      <c r="B262" s="53"/>
      <c r="C262" s="14"/>
      <c r="D262" s="17"/>
      <c r="E262" s="22"/>
      <c r="F262" s="75"/>
      <c r="G262" s="75"/>
      <c r="H262" s="20"/>
      <c r="I262" s="21"/>
    </row>
    <row r="263" spans="2:9" x14ac:dyDescent="0.3">
      <c r="B263" s="53"/>
      <c r="C263" s="14"/>
      <c r="D263" s="17"/>
      <c r="E263" s="22"/>
      <c r="F263" s="75"/>
      <c r="G263" s="75"/>
      <c r="H263" s="20"/>
      <c r="I263" s="21"/>
    </row>
    <row r="264" spans="2:9" x14ac:dyDescent="0.3">
      <c r="B264" s="53"/>
      <c r="C264" s="14"/>
      <c r="D264" s="17"/>
      <c r="E264" s="22"/>
      <c r="F264" s="75"/>
      <c r="G264" s="75"/>
      <c r="H264" s="20"/>
      <c r="I264" s="21"/>
    </row>
    <row r="265" spans="2:9" x14ac:dyDescent="0.3">
      <c r="B265" s="53"/>
      <c r="C265" s="14"/>
      <c r="D265" s="17"/>
      <c r="E265" s="22"/>
      <c r="F265" s="75"/>
      <c r="G265" s="75"/>
      <c r="H265" s="20"/>
      <c r="I265" s="21"/>
    </row>
    <row r="266" spans="2:9" x14ac:dyDescent="0.3">
      <c r="B266" s="53"/>
      <c r="C266" s="14"/>
      <c r="D266" s="17"/>
      <c r="E266" s="22"/>
      <c r="F266" s="75"/>
      <c r="G266" s="75"/>
      <c r="H266" s="20"/>
      <c r="I266" s="21"/>
    </row>
    <row r="267" spans="2:9" x14ac:dyDescent="0.3">
      <c r="B267" s="53"/>
      <c r="C267" s="14"/>
      <c r="D267" s="17"/>
      <c r="E267" s="22"/>
      <c r="F267" s="75"/>
      <c r="G267" s="75"/>
      <c r="H267" s="20"/>
      <c r="I267" s="21"/>
    </row>
    <row r="268" spans="2:9" x14ac:dyDescent="0.3">
      <c r="B268" s="53"/>
      <c r="C268" s="14"/>
      <c r="D268" s="17"/>
      <c r="E268" s="22"/>
      <c r="F268" s="75"/>
      <c r="G268" s="75"/>
      <c r="H268" s="20"/>
      <c r="I268" s="21"/>
    </row>
    <row r="269" spans="2:9" x14ac:dyDescent="0.3">
      <c r="B269" s="53"/>
      <c r="C269" s="14"/>
      <c r="D269" s="17"/>
      <c r="E269" s="22"/>
      <c r="F269" s="75"/>
      <c r="G269" s="75"/>
      <c r="H269" s="20"/>
      <c r="I269" s="21"/>
    </row>
    <row r="270" spans="2:9" x14ac:dyDescent="0.3">
      <c r="B270" s="53"/>
      <c r="C270" s="14"/>
      <c r="D270" s="17"/>
      <c r="E270" s="22"/>
      <c r="F270" s="75"/>
      <c r="G270" s="75"/>
      <c r="H270" s="20"/>
      <c r="I270" s="19"/>
    </row>
    <row r="271" spans="2:9" x14ac:dyDescent="0.3">
      <c r="B271" s="53"/>
      <c r="C271" s="14"/>
      <c r="D271" s="17"/>
      <c r="E271" s="22"/>
      <c r="F271" s="75"/>
      <c r="G271" s="75"/>
      <c r="H271" s="20"/>
      <c r="I271" s="21"/>
    </row>
    <row r="272" spans="2:9" x14ac:dyDescent="0.3">
      <c r="B272" s="53"/>
      <c r="C272" s="14"/>
      <c r="D272" s="17"/>
      <c r="E272" s="22"/>
      <c r="F272" s="76"/>
      <c r="G272" s="75"/>
      <c r="H272" s="18"/>
      <c r="I272" s="21"/>
    </row>
    <row r="273" spans="2:9" x14ac:dyDescent="0.3">
      <c r="B273" s="53"/>
      <c r="C273" s="14"/>
      <c r="D273" s="17"/>
      <c r="E273" s="22"/>
      <c r="F273" s="75"/>
      <c r="G273" s="75"/>
      <c r="H273" s="20"/>
      <c r="I273" s="21"/>
    </row>
    <row r="274" spans="2:9" x14ac:dyDescent="0.3">
      <c r="B274" s="53"/>
      <c r="C274" s="14"/>
      <c r="D274" s="17"/>
      <c r="E274" s="22"/>
      <c r="F274" s="75"/>
      <c r="G274" s="75"/>
      <c r="H274" s="20"/>
      <c r="I274" s="21"/>
    </row>
    <row r="275" spans="2:9" x14ac:dyDescent="0.3">
      <c r="B275" s="53"/>
      <c r="C275" s="14"/>
      <c r="D275" s="17"/>
      <c r="E275" s="22"/>
      <c r="F275" s="75"/>
      <c r="G275" s="75"/>
      <c r="H275" s="20"/>
      <c r="I275" s="21"/>
    </row>
    <row r="276" spans="2:9" x14ac:dyDescent="0.3">
      <c r="B276" s="53"/>
      <c r="C276" s="14"/>
      <c r="D276" s="17"/>
      <c r="E276" s="22"/>
      <c r="F276" s="75"/>
      <c r="G276" s="75"/>
      <c r="H276" s="20"/>
      <c r="I276" s="21"/>
    </row>
    <row r="277" spans="2:9" x14ac:dyDescent="0.3">
      <c r="B277" s="53"/>
      <c r="C277" s="14"/>
      <c r="D277" s="17"/>
      <c r="E277" s="22"/>
      <c r="F277" s="75"/>
      <c r="G277" s="75"/>
      <c r="H277" s="20"/>
      <c r="I277" s="21"/>
    </row>
    <row r="278" spans="2:9" x14ac:dyDescent="0.3">
      <c r="B278" s="53"/>
      <c r="C278" s="14"/>
      <c r="D278" s="17"/>
      <c r="E278" s="22"/>
      <c r="F278" s="75"/>
      <c r="G278" s="75"/>
      <c r="H278" s="20"/>
      <c r="I278" s="21"/>
    </row>
    <row r="279" spans="2:9" x14ac:dyDescent="0.3">
      <c r="B279" s="53"/>
      <c r="C279" s="14"/>
      <c r="D279" s="17"/>
      <c r="E279" s="22"/>
      <c r="F279" s="75"/>
      <c r="G279" s="75"/>
      <c r="H279" s="20"/>
      <c r="I279" s="21"/>
    </row>
    <row r="280" spans="2:9" x14ac:dyDescent="0.3">
      <c r="B280" s="53"/>
      <c r="C280" s="14"/>
      <c r="D280" s="17"/>
      <c r="E280" s="22"/>
      <c r="F280" s="75"/>
      <c r="G280" s="75"/>
      <c r="H280" s="20"/>
      <c r="I280" s="21"/>
    </row>
    <row r="281" spans="2:9" x14ac:dyDescent="0.3">
      <c r="B281" s="53"/>
      <c r="C281" s="14"/>
      <c r="D281" s="17"/>
      <c r="E281" s="22"/>
      <c r="F281" s="75"/>
      <c r="G281" s="75"/>
      <c r="H281" s="20"/>
      <c r="I281" s="21"/>
    </row>
    <row r="282" spans="2:9" x14ac:dyDescent="0.3">
      <c r="B282" s="53"/>
      <c r="C282" s="14"/>
      <c r="D282" s="17"/>
      <c r="E282" s="22"/>
      <c r="F282" s="75"/>
      <c r="G282" s="75"/>
      <c r="H282" s="20"/>
      <c r="I282" s="21"/>
    </row>
    <row r="283" spans="2:9" x14ac:dyDescent="0.3">
      <c r="B283" s="53"/>
      <c r="C283" s="14"/>
      <c r="D283" s="17"/>
      <c r="E283" s="22"/>
      <c r="F283" s="75"/>
      <c r="G283" s="75"/>
      <c r="H283" s="20"/>
      <c r="I283" s="21"/>
    </row>
    <row r="284" spans="2:9" x14ac:dyDescent="0.3">
      <c r="B284" s="53"/>
      <c r="C284" s="14"/>
      <c r="D284" s="17"/>
      <c r="E284" s="22"/>
      <c r="F284" s="75"/>
      <c r="G284" s="75"/>
      <c r="H284" s="20"/>
      <c r="I284" s="21"/>
    </row>
    <row r="285" spans="2:9" x14ac:dyDescent="0.3">
      <c r="B285" s="53"/>
      <c r="C285" s="14"/>
      <c r="D285" s="17"/>
      <c r="E285" s="22"/>
      <c r="F285" s="75"/>
      <c r="G285" s="75"/>
      <c r="H285" s="20"/>
      <c r="I285" s="21"/>
    </row>
    <row r="286" spans="2:9" x14ac:dyDescent="0.3">
      <c r="B286" s="53"/>
      <c r="C286" s="14"/>
      <c r="D286" s="17"/>
      <c r="E286" s="22"/>
      <c r="F286" s="75"/>
      <c r="G286" s="75"/>
      <c r="H286" s="20"/>
      <c r="I286" s="21"/>
    </row>
    <row r="287" spans="2:9" x14ac:dyDescent="0.3">
      <c r="B287" s="53"/>
      <c r="C287" s="14"/>
      <c r="D287" s="17"/>
      <c r="E287" s="22"/>
      <c r="F287" s="75"/>
      <c r="G287" s="75"/>
      <c r="H287" s="20"/>
      <c r="I287" s="21"/>
    </row>
    <row r="288" spans="2:9" x14ac:dyDescent="0.3">
      <c r="B288" s="53"/>
      <c r="C288" s="14"/>
      <c r="D288" s="17"/>
      <c r="E288" s="22"/>
      <c r="F288" s="75"/>
      <c r="G288" s="75"/>
      <c r="H288" s="20"/>
      <c r="I288" s="21"/>
    </row>
    <row r="289" spans="2:9" x14ac:dyDescent="0.3">
      <c r="B289" s="53"/>
      <c r="C289" s="14"/>
      <c r="D289" s="17"/>
      <c r="E289" s="22"/>
      <c r="F289" s="75"/>
      <c r="G289" s="75"/>
      <c r="H289" s="20"/>
      <c r="I289" s="21"/>
    </row>
    <row r="290" spans="2:9" x14ac:dyDescent="0.3">
      <c r="B290" s="53"/>
      <c r="C290" s="14"/>
      <c r="D290" s="17"/>
      <c r="E290" s="22"/>
      <c r="F290" s="75"/>
      <c r="G290" s="75"/>
      <c r="H290" s="20"/>
      <c r="I290" s="21"/>
    </row>
    <row r="291" spans="2:9" x14ac:dyDescent="0.3">
      <c r="B291" s="53"/>
      <c r="C291" s="14"/>
      <c r="D291" s="17"/>
      <c r="E291" s="22"/>
      <c r="F291" s="75"/>
      <c r="G291" s="75"/>
      <c r="H291" s="20"/>
      <c r="I291" s="21"/>
    </row>
    <row r="292" spans="2:9" x14ac:dyDescent="0.3">
      <c r="B292" s="53"/>
      <c r="C292" s="14"/>
      <c r="D292" s="17"/>
      <c r="E292" s="22"/>
      <c r="F292" s="75"/>
      <c r="G292" s="75"/>
      <c r="H292" s="20"/>
      <c r="I292" s="21"/>
    </row>
    <row r="293" spans="2:9" x14ac:dyDescent="0.3">
      <c r="B293" s="54"/>
      <c r="C293" s="16"/>
      <c r="D293" s="17"/>
      <c r="E293" s="22"/>
      <c r="F293" s="75"/>
      <c r="G293" s="75"/>
      <c r="H293" s="20"/>
      <c r="I293" s="21"/>
    </row>
    <row r="294" spans="2:9" x14ac:dyDescent="0.3">
      <c r="B294" s="53"/>
      <c r="C294" s="14"/>
      <c r="D294" s="17"/>
      <c r="E294" s="22"/>
      <c r="F294" s="75"/>
      <c r="G294" s="75"/>
      <c r="H294" s="20"/>
      <c r="I294" s="21"/>
    </row>
    <row r="295" spans="2:9" x14ac:dyDescent="0.3">
      <c r="B295" s="53"/>
      <c r="C295" s="14"/>
      <c r="D295" s="17"/>
      <c r="E295" s="22"/>
      <c r="F295" s="75"/>
      <c r="G295" s="75"/>
      <c r="H295" s="20"/>
      <c r="I295" s="21"/>
    </row>
    <row r="296" spans="2:9" x14ac:dyDescent="0.3">
      <c r="B296" s="53"/>
      <c r="C296" s="14"/>
      <c r="D296" s="17"/>
      <c r="E296" s="22"/>
      <c r="F296" s="75"/>
      <c r="G296" s="75"/>
      <c r="H296" s="20"/>
      <c r="I296" s="21"/>
    </row>
    <row r="297" spans="2:9" x14ac:dyDescent="0.3">
      <c r="B297" s="53"/>
      <c r="C297" s="14"/>
      <c r="D297" s="17"/>
      <c r="E297" s="22"/>
      <c r="F297" s="75"/>
      <c r="G297" s="75"/>
      <c r="H297" s="20"/>
      <c r="I297" s="21"/>
    </row>
    <row r="298" spans="2:9" x14ac:dyDescent="0.3">
      <c r="B298" s="53"/>
      <c r="C298" s="14"/>
      <c r="D298" s="17"/>
      <c r="E298" s="22"/>
      <c r="F298" s="75"/>
      <c r="G298" s="75"/>
      <c r="H298" s="20"/>
      <c r="I298" s="21"/>
    </row>
    <row r="299" spans="2:9" x14ac:dyDescent="0.3">
      <c r="B299" s="53"/>
      <c r="C299" s="14"/>
      <c r="D299" s="17"/>
      <c r="E299" s="22"/>
      <c r="F299" s="75"/>
      <c r="G299" s="75"/>
      <c r="H299" s="20"/>
      <c r="I299" s="21"/>
    </row>
    <row r="300" spans="2:9" x14ac:dyDescent="0.3">
      <c r="B300" s="53"/>
      <c r="C300" s="14"/>
      <c r="D300" s="17"/>
      <c r="E300" s="22"/>
      <c r="F300" s="75"/>
      <c r="G300" s="75"/>
      <c r="H300" s="20"/>
      <c r="I300" s="21"/>
    </row>
    <row r="301" spans="2:9" x14ac:dyDescent="0.3">
      <c r="B301" s="53"/>
      <c r="C301" s="14"/>
      <c r="D301" s="17"/>
      <c r="E301" s="22"/>
      <c r="F301" s="75"/>
      <c r="G301" s="75"/>
      <c r="H301" s="20"/>
      <c r="I301" s="21"/>
    </row>
    <row r="302" spans="2:9" x14ac:dyDescent="0.3">
      <c r="B302" s="53"/>
      <c r="C302" s="14"/>
      <c r="D302" s="17"/>
      <c r="E302" s="22"/>
      <c r="F302" s="75"/>
      <c r="G302" s="75"/>
      <c r="H302" s="20"/>
      <c r="I302" s="21"/>
    </row>
    <row r="303" spans="2:9" x14ac:dyDescent="0.3">
      <c r="B303" s="53"/>
      <c r="C303" s="14"/>
      <c r="D303" s="17"/>
      <c r="E303" s="22"/>
      <c r="F303" s="75"/>
      <c r="G303" s="75"/>
      <c r="H303" s="20"/>
      <c r="I303" s="19"/>
    </row>
    <row r="304" spans="2:9" x14ac:dyDescent="0.3">
      <c r="B304" s="53"/>
      <c r="C304" s="14"/>
      <c r="D304" s="17"/>
      <c r="E304" s="22"/>
      <c r="F304" s="75"/>
      <c r="G304" s="75"/>
      <c r="H304" s="20"/>
      <c r="I304" s="21"/>
    </row>
    <row r="305" spans="2:9" x14ac:dyDescent="0.3">
      <c r="B305" s="53"/>
      <c r="C305" s="14"/>
      <c r="D305" s="17"/>
      <c r="E305" s="22"/>
      <c r="F305" s="76"/>
      <c r="G305" s="75"/>
      <c r="H305" s="18"/>
      <c r="I305" s="21"/>
    </row>
    <row r="306" spans="2:9" x14ac:dyDescent="0.3">
      <c r="B306" s="53"/>
      <c r="C306" s="14"/>
      <c r="D306" s="17"/>
      <c r="E306" s="22"/>
      <c r="F306" s="75"/>
      <c r="G306" s="75"/>
      <c r="H306" s="20"/>
      <c r="I306" s="21"/>
    </row>
    <row r="307" spans="2:9" x14ac:dyDescent="0.3">
      <c r="B307" s="53"/>
      <c r="C307" s="14"/>
      <c r="D307" s="17"/>
      <c r="E307" s="22"/>
      <c r="F307" s="75"/>
      <c r="G307" s="75"/>
      <c r="H307" s="20"/>
      <c r="I307" s="21"/>
    </row>
    <row r="308" spans="2:9" x14ac:dyDescent="0.3">
      <c r="B308" s="53"/>
      <c r="C308" s="14"/>
      <c r="D308" s="17"/>
      <c r="E308" s="22"/>
      <c r="F308" s="75"/>
      <c r="G308" s="75"/>
      <c r="H308" s="20"/>
      <c r="I308" s="21"/>
    </row>
    <row r="309" spans="2:9" x14ac:dyDescent="0.3">
      <c r="B309" s="53"/>
      <c r="C309" s="14"/>
      <c r="D309" s="17"/>
      <c r="E309" s="22"/>
      <c r="F309" s="75"/>
      <c r="G309" s="75"/>
      <c r="H309" s="20"/>
      <c r="I309" s="21"/>
    </row>
    <row r="310" spans="2:9" x14ac:dyDescent="0.3">
      <c r="B310" s="53"/>
      <c r="C310" s="14"/>
      <c r="D310" s="17"/>
      <c r="E310" s="22"/>
      <c r="F310" s="75"/>
      <c r="G310" s="75"/>
      <c r="H310" s="20"/>
      <c r="I310" s="21"/>
    </row>
    <row r="311" spans="2:9" x14ac:dyDescent="0.3">
      <c r="B311" s="53"/>
      <c r="C311" s="14"/>
      <c r="D311" s="17"/>
      <c r="E311" s="22"/>
      <c r="F311" s="75"/>
      <c r="G311" s="75"/>
      <c r="H311" s="20"/>
      <c r="I311" s="19"/>
    </row>
    <row r="312" spans="2:9" x14ac:dyDescent="0.3">
      <c r="B312" s="53"/>
      <c r="C312" s="14"/>
      <c r="D312" s="17"/>
      <c r="E312" s="22"/>
      <c r="F312" s="75"/>
      <c r="G312" s="75"/>
      <c r="H312" s="20"/>
      <c r="I312" s="21"/>
    </row>
    <row r="313" spans="2:9" x14ac:dyDescent="0.3">
      <c r="B313" s="53"/>
      <c r="C313" s="14"/>
      <c r="D313" s="17"/>
      <c r="E313" s="22"/>
      <c r="F313" s="76"/>
      <c r="G313" s="75"/>
      <c r="H313" s="18"/>
      <c r="I313" s="21"/>
    </row>
    <row r="314" spans="2:9" x14ac:dyDescent="0.3">
      <c r="B314" s="53"/>
      <c r="C314" s="14"/>
      <c r="D314" s="17"/>
      <c r="E314" s="22"/>
      <c r="F314" s="75"/>
      <c r="G314" s="75"/>
      <c r="H314" s="20"/>
      <c r="I314" s="21"/>
    </row>
    <row r="315" spans="2:9" x14ac:dyDescent="0.3">
      <c r="B315" s="53"/>
      <c r="C315" s="14"/>
      <c r="D315" s="17"/>
      <c r="E315" s="22"/>
      <c r="F315" s="75"/>
      <c r="G315" s="75"/>
      <c r="H315" s="20"/>
      <c r="I315" s="21"/>
    </row>
    <row r="316" spans="2:9" x14ac:dyDescent="0.3">
      <c r="B316" s="53"/>
      <c r="C316" s="14"/>
      <c r="D316" s="17"/>
      <c r="E316" s="22"/>
      <c r="F316" s="75"/>
      <c r="G316" s="75"/>
      <c r="H316" s="20"/>
      <c r="I316" s="21"/>
    </row>
    <row r="317" spans="2:9" x14ac:dyDescent="0.3">
      <c r="B317" s="53"/>
      <c r="C317" s="14"/>
      <c r="D317" s="17"/>
      <c r="E317" s="22"/>
      <c r="F317" s="75"/>
      <c r="G317" s="75"/>
      <c r="H317" s="20"/>
      <c r="I317" s="24"/>
    </row>
    <row r="318" spans="2:9" x14ac:dyDescent="0.3">
      <c r="B318" s="53"/>
      <c r="C318" s="14"/>
      <c r="D318" s="17"/>
      <c r="E318" s="22"/>
      <c r="F318" s="75"/>
      <c r="G318" s="75"/>
      <c r="H318" s="20"/>
      <c r="I318" s="21"/>
    </row>
    <row r="319" spans="2:9" x14ac:dyDescent="0.3">
      <c r="B319" s="53"/>
      <c r="C319" s="14"/>
      <c r="D319" s="17"/>
      <c r="E319" s="22"/>
      <c r="F319" s="77"/>
      <c r="G319" s="78"/>
      <c r="H319" s="23"/>
      <c r="I319" s="21"/>
    </row>
    <row r="320" spans="2:9" x14ac:dyDescent="0.3">
      <c r="B320" s="53"/>
      <c r="C320" s="14"/>
      <c r="D320" s="17"/>
      <c r="E320" s="22"/>
      <c r="F320" s="75"/>
      <c r="G320" s="75"/>
      <c r="H320" s="20"/>
      <c r="I320" s="21"/>
    </row>
    <row r="321" spans="2:9" x14ac:dyDescent="0.3">
      <c r="B321" s="53"/>
      <c r="C321" s="14"/>
      <c r="D321" s="17"/>
      <c r="E321" s="22"/>
      <c r="F321" s="75"/>
      <c r="G321" s="75"/>
      <c r="H321" s="20"/>
      <c r="I321" s="19"/>
    </row>
    <row r="322" spans="2:9" ht="19.5" customHeight="1" x14ac:dyDescent="0.3">
      <c r="B322" s="53"/>
      <c r="C322" s="14"/>
      <c r="D322" s="17"/>
      <c r="E322" s="22"/>
      <c r="F322" s="75"/>
      <c r="G322" s="75"/>
      <c r="H322" s="20"/>
      <c r="I322" s="21"/>
    </row>
    <row r="323" spans="2:9" x14ac:dyDescent="0.3">
      <c r="B323" s="53"/>
      <c r="C323" s="14"/>
      <c r="D323" s="17"/>
      <c r="E323" s="22"/>
      <c r="F323" s="76"/>
      <c r="G323" s="75"/>
      <c r="H323" s="18"/>
      <c r="I323" s="21"/>
    </row>
    <row r="324" spans="2:9" x14ac:dyDescent="0.3">
      <c r="B324" s="53"/>
      <c r="C324" s="14"/>
      <c r="D324" s="17"/>
      <c r="E324" s="22"/>
      <c r="F324" s="75"/>
      <c r="G324" s="75"/>
      <c r="H324" s="20"/>
      <c r="I324" s="21"/>
    </row>
    <row r="325" spans="2:9" ht="20.25" customHeight="1" x14ac:dyDescent="0.3">
      <c r="B325" s="53"/>
      <c r="C325" s="14"/>
      <c r="D325" s="17"/>
      <c r="E325" s="22"/>
      <c r="F325" s="75"/>
      <c r="G325" s="75"/>
      <c r="H325" s="20"/>
      <c r="I325" s="21"/>
    </row>
    <row r="326" spans="2:9" x14ac:dyDescent="0.3">
      <c r="B326" s="53"/>
      <c r="C326" s="14"/>
      <c r="D326" s="17"/>
      <c r="E326" s="22"/>
      <c r="F326" s="75"/>
      <c r="G326" s="75"/>
      <c r="H326" s="20"/>
      <c r="I326" s="21"/>
    </row>
    <row r="327" spans="2:9" x14ac:dyDescent="0.3">
      <c r="B327" s="53"/>
      <c r="C327" s="14"/>
      <c r="D327" s="17"/>
      <c r="E327" s="22"/>
      <c r="F327" s="75"/>
      <c r="G327" s="75"/>
      <c r="H327" s="20"/>
      <c r="I327" s="21"/>
    </row>
    <row r="328" spans="2:9" x14ac:dyDescent="0.3">
      <c r="B328" s="53"/>
      <c r="C328" s="14"/>
      <c r="D328" s="17"/>
      <c r="E328" s="22"/>
      <c r="F328" s="75"/>
      <c r="G328" s="75"/>
      <c r="H328" s="20"/>
      <c r="I328" s="21"/>
    </row>
    <row r="329" spans="2:9" x14ac:dyDescent="0.3">
      <c r="B329" s="54"/>
      <c r="C329" s="16"/>
      <c r="D329" s="17"/>
      <c r="E329" s="22"/>
      <c r="F329" s="75"/>
      <c r="G329" s="75"/>
      <c r="H329" s="20"/>
      <c r="I329" s="21"/>
    </row>
    <row r="330" spans="2:9" x14ac:dyDescent="0.3">
      <c r="B330" s="53"/>
      <c r="C330" s="14"/>
      <c r="D330" s="17"/>
      <c r="E330" s="22"/>
      <c r="F330" s="75"/>
      <c r="G330" s="75"/>
      <c r="H330" s="20"/>
      <c r="I330" s="21"/>
    </row>
    <row r="331" spans="2:9" x14ac:dyDescent="0.3">
      <c r="B331" s="53"/>
      <c r="C331" s="14"/>
      <c r="D331" s="17"/>
      <c r="E331" s="22"/>
      <c r="F331" s="75"/>
      <c r="G331" s="75"/>
      <c r="H331" s="20"/>
      <c r="I331" s="21"/>
    </row>
    <row r="332" spans="2:9" x14ac:dyDescent="0.3">
      <c r="B332" s="53"/>
      <c r="C332" s="14"/>
      <c r="D332" s="17"/>
      <c r="E332" s="22"/>
      <c r="F332" s="75"/>
      <c r="G332" s="75"/>
      <c r="H332" s="20"/>
      <c r="I332" s="21"/>
    </row>
    <row r="333" spans="2:9" x14ac:dyDescent="0.3">
      <c r="B333" s="53"/>
      <c r="C333" s="14"/>
      <c r="D333" s="17"/>
      <c r="E333" s="22"/>
      <c r="F333" s="75"/>
      <c r="G333" s="75"/>
      <c r="H333" s="20"/>
      <c r="I333" s="21"/>
    </row>
    <row r="334" spans="2:9" x14ac:dyDescent="0.3">
      <c r="B334" s="53"/>
      <c r="C334" s="14"/>
      <c r="D334" s="17"/>
      <c r="E334" s="22"/>
      <c r="F334" s="75"/>
      <c r="G334" s="75"/>
      <c r="H334" s="20"/>
      <c r="I334" s="21"/>
    </row>
    <row r="335" spans="2:9" x14ac:dyDescent="0.3">
      <c r="B335" s="53"/>
      <c r="C335" s="14"/>
      <c r="D335" s="17"/>
      <c r="E335" s="22"/>
      <c r="F335" s="75"/>
      <c r="G335" s="75"/>
      <c r="H335" s="20"/>
      <c r="I335" s="21"/>
    </row>
    <row r="336" spans="2:9" x14ac:dyDescent="0.3">
      <c r="B336" s="53"/>
      <c r="C336" s="14"/>
      <c r="D336" s="17"/>
      <c r="E336" s="22"/>
      <c r="F336" s="75"/>
      <c r="G336" s="75"/>
      <c r="H336" s="20"/>
      <c r="I336" s="21"/>
    </row>
    <row r="337" spans="2:9" x14ac:dyDescent="0.3">
      <c r="B337" s="53"/>
      <c r="C337" s="14"/>
      <c r="D337" s="17"/>
      <c r="E337" s="22"/>
      <c r="F337" s="75"/>
      <c r="G337" s="75"/>
      <c r="H337" s="20"/>
      <c r="I337" s="21"/>
    </row>
    <row r="338" spans="2:9" x14ac:dyDescent="0.3">
      <c r="B338" s="53"/>
      <c r="C338" s="14"/>
      <c r="D338" s="17"/>
      <c r="E338" s="22"/>
      <c r="F338" s="75"/>
      <c r="G338" s="75"/>
      <c r="H338" s="20"/>
      <c r="I338" s="21"/>
    </row>
    <row r="339" spans="2:9" x14ac:dyDescent="0.3">
      <c r="B339" s="53"/>
      <c r="C339" s="14"/>
      <c r="D339" s="17"/>
      <c r="E339" s="22"/>
      <c r="F339" s="75"/>
      <c r="G339" s="75"/>
      <c r="H339" s="20"/>
      <c r="I339" s="21"/>
    </row>
    <row r="340" spans="2:9" x14ac:dyDescent="0.3">
      <c r="B340" s="53"/>
      <c r="C340" s="14"/>
      <c r="D340" s="17"/>
      <c r="E340" s="22"/>
      <c r="F340" s="75"/>
      <c r="G340" s="75"/>
      <c r="H340" s="20"/>
      <c r="I340" s="21"/>
    </row>
    <row r="341" spans="2:9" x14ac:dyDescent="0.3">
      <c r="B341" s="53"/>
      <c r="C341" s="14"/>
      <c r="D341" s="17"/>
      <c r="E341" s="22"/>
      <c r="F341" s="75"/>
      <c r="G341" s="75"/>
      <c r="H341" s="20"/>
      <c r="I341" s="21"/>
    </row>
    <row r="342" spans="2:9" x14ac:dyDescent="0.3">
      <c r="B342" s="53"/>
      <c r="C342" s="14"/>
      <c r="D342" s="17"/>
      <c r="E342" s="22"/>
      <c r="F342" s="75"/>
      <c r="G342" s="75"/>
      <c r="H342" s="20"/>
      <c r="I342" s="21"/>
    </row>
    <row r="343" spans="2:9" x14ac:dyDescent="0.3">
      <c r="B343" s="53"/>
      <c r="C343" s="14"/>
      <c r="D343" s="17"/>
      <c r="E343" s="22"/>
      <c r="F343" s="75"/>
      <c r="G343" s="75"/>
      <c r="H343" s="20"/>
      <c r="I343" s="21"/>
    </row>
    <row r="344" spans="2:9" x14ac:dyDescent="0.3">
      <c r="B344" s="54"/>
      <c r="C344" s="16"/>
      <c r="D344" s="17"/>
      <c r="E344" s="22"/>
      <c r="F344" s="75"/>
      <c r="G344" s="75"/>
      <c r="H344" s="20"/>
      <c r="I344" s="21"/>
    </row>
    <row r="345" spans="2:9" x14ac:dyDescent="0.3">
      <c r="B345" s="53"/>
      <c r="C345" s="14"/>
      <c r="D345" s="17"/>
      <c r="E345" s="22"/>
      <c r="F345" s="75"/>
      <c r="G345" s="75"/>
      <c r="H345" s="20"/>
      <c r="I345" s="21"/>
    </row>
    <row r="346" spans="2:9" x14ac:dyDescent="0.3">
      <c r="B346" s="53"/>
      <c r="C346" s="14"/>
      <c r="D346" s="17"/>
      <c r="E346" s="22"/>
      <c r="F346" s="75"/>
      <c r="G346" s="75"/>
      <c r="H346" s="20"/>
      <c r="I346" s="21"/>
    </row>
    <row r="347" spans="2:9" x14ac:dyDescent="0.3">
      <c r="B347" s="53"/>
      <c r="C347" s="14"/>
      <c r="D347" s="17"/>
      <c r="E347" s="22"/>
      <c r="F347" s="75"/>
      <c r="G347" s="75"/>
      <c r="H347" s="20"/>
      <c r="I347" s="21"/>
    </row>
    <row r="348" spans="2:9" x14ac:dyDescent="0.3">
      <c r="B348" s="53"/>
      <c r="C348" s="14"/>
      <c r="D348" s="17"/>
      <c r="E348" s="22"/>
      <c r="F348" s="75"/>
      <c r="G348" s="75"/>
      <c r="H348" s="20"/>
      <c r="I348" s="21"/>
    </row>
    <row r="349" spans="2:9" x14ac:dyDescent="0.3">
      <c r="B349" s="53"/>
      <c r="C349" s="14"/>
      <c r="D349" s="17"/>
      <c r="E349" s="22"/>
      <c r="F349" s="75"/>
      <c r="G349" s="75"/>
      <c r="H349" s="20"/>
      <c r="I349" s="21"/>
    </row>
    <row r="350" spans="2:9" x14ac:dyDescent="0.3">
      <c r="B350" s="53"/>
      <c r="C350" s="14"/>
      <c r="D350" s="17"/>
      <c r="E350" s="22"/>
      <c r="F350" s="75"/>
      <c r="G350" s="75"/>
      <c r="H350" s="20"/>
      <c r="I350" s="21"/>
    </row>
    <row r="351" spans="2:9" x14ac:dyDescent="0.3">
      <c r="B351" s="53"/>
      <c r="C351" s="14"/>
      <c r="D351" s="17"/>
      <c r="E351" s="22"/>
      <c r="F351" s="75"/>
      <c r="G351" s="75"/>
      <c r="H351" s="20"/>
      <c r="I351" s="21"/>
    </row>
    <row r="352" spans="2:9" x14ac:dyDescent="0.3">
      <c r="B352" s="53"/>
      <c r="C352" s="14"/>
      <c r="D352" s="17"/>
      <c r="E352" s="22"/>
      <c r="F352" s="75"/>
      <c r="G352" s="75"/>
      <c r="H352" s="20"/>
      <c r="I352" s="21"/>
    </row>
    <row r="353" spans="2:9" x14ac:dyDescent="0.3">
      <c r="B353" s="53"/>
      <c r="C353" s="14"/>
      <c r="D353" s="17"/>
      <c r="E353" s="22"/>
      <c r="F353" s="75"/>
      <c r="G353" s="75"/>
      <c r="H353" s="20"/>
      <c r="I353" s="21"/>
    </row>
    <row r="354" spans="2:9" x14ac:dyDescent="0.3">
      <c r="B354" s="53"/>
      <c r="C354" s="14"/>
      <c r="D354" s="17"/>
      <c r="E354" s="22"/>
      <c r="F354" s="75"/>
      <c r="G354" s="75"/>
      <c r="H354" s="20"/>
      <c r="I354" s="21"/>
    </row>
    <row r="355" spans="2:9" x14ac:dyDescent="0.3">
      <c r="B355" s="53"/>
      <c r="C355" s="14"/>
      <c r="D355" s="17"/>
      <c r="E355" s="22"/>
      <c r="F355" s="75"/>
      <c r="G355" s="75"/>
      <c r="H355" s="20"/>
      <c r="I355" s="21"/>
    </row>
    <row r="356" spans="2:9" x14ac:dyDescent="0.3">
      <c r="B356" s="53"/>
      <c r="C356" s="14"/>
      <c r="D356" s="17"/>
      <c r="E356" s="22"/>
      <c r="F356" s="75"/>
      <c r="G356" s="75"/>
      <c r="H356" s="20"/>
      <c r="I356" s="21"/>
    </row>
    <row r="357" spans="2:9" x14ac:dyDescent="0.3">
      <c r="B357" s="53"/>
      <c r="C357" s="14"/>
      <c r="D357" s="17"/>
      <c r="E357" s="22"/>
      <c r="F357" s="75"/>
      <c r="G357" s="75"/>
      <c r="H357" s="20"/>
      <c r="I357" s="21"/>
    </row>
    <row r="358" spans="2:9" x14ac:dyDescent="0.3">
      <c r="B358" s="53"/>
      <c r="C358" s="14"/>
      <c r="D358" s="17"/>
      <c r="E358" s="22"/>
      <c r="F358" s="75"/>
      <c r="G358" s="75"/>
      <c r="H358" s="20"/>
      <c r="I358" s="21"/>
    </row>
    <row r="359" spans="2:9" x14ac:dyDescent="0.3">
      <c r="B359" s="53"/>
      <c r="C359" s="14"/>
      <c r="D359" s="17"/>
      <c r="E359" s="22"/>
      <c r="F359" s="75"/>
      <c r="G359" s="75"/>
      <c r="H359" s="20"/>
      <c r="I359" s="21"/>
    </row>
    <row r="360" spans="2:9" x14ac:dyDescent="0.3">
      <c r="B360" s="54"/>
      <c r="C360" s="16"/>
      <c r="D360" s="17"/>
      <c r="E360" s="22"/>
      <c r="F360" s="75"/>
      <c r="G360" s="75"/>
      <c r="H360" s="20"/>
      <c r="I360" s="21"/>
    </row>
    <row r="361" spans="2:9" x14ac:dyDescent="0.3">
      <c r="B361" s="53"/>
      <c r="C361" s="14"/>
      <c r="D361" s="17"/>
      <c r="E361" s="22"/>
      <c r="F361" s="75"/>
      <c r="G361" s="75"/>
      <c r="H361" s="20"/>
      <c r="I361" s="21"/>
    </row>
    <row r="362" spans="2:9" x14ac:dyDescent="0.3">
      <c r="B362" s="53"/>
      <c r="C362" s="14"/>
      <c r="D362" s="17"/>
      <c r="E362" s="22"/>
      <c r="F362" s="75"/>
      <c r="G362" s="75"/>
      <c r="H362" s="20"/>
      <c r="I362" s="21"/>
    </row>
    <row r="363" spans="2:9" x14ac:dyDescent="0.3">
      <c r="B363" s="53"/>
      <c r="C363" s="14"/>
      <c r="D363" s="17"/>
      <c r="E363" s="22"/>
      <c r="F363" s="75"/>
      <c r="G363" s="75"/>
      <c r="H363" s="20"/>
      <c r="I363" s="19"/>
    </row>
    <row r="364" spans="2:9" x14ac:dyDescent="0.3">
      <c r="B364" s="53"/>
      <c r="C364" s="14"/>
      <c r="D364" s="17"/>
      <c r="E364" s="22"/>
      <c r="F364" s="75"/>
      <c r="G364" s="75"/>
      <c r="H364" s="20"/>
      <c r="I364" s="21"/>
    </row>
    <row r="365" spans="2:9" x14ac:dyDescent="0.3">
      <c r="B365" s="53"/>
      <c r="C365" s="14"/>
      <c r="D365" s="17"/>
      <c r="E365" s="22"/>
      <c r="F365" s="76"/>
      <c r="G365" s="75"/>
      <c r="H365" s="18"/>
      <c r="I365" s="21"/>
    </row>
    <row r="366" spans="2:9" x14ac:dyDescent="0.3">
      <c r="B366" s="53"/>
      <c r="C366" s="14"/>
      <c r="D366" s="17"/>
      <c r="E366" s="22"/>
      <c r="F366" s="75"/>
      <c r="G366" s="75"/>
      <c r="H366" s="20"/>
      <c r="I366" s="21"/>
    </row>
    <row r="367" spans="2:9" x14ac:dyDescent="0.3">
      <c r="B367" s="53"/>
      <c r="C367" s="14"/>
      <c r="D367" s="17"/>
      <c r="E367" s="22"/>
      <c r="F367" s="75"/>
      <c r="G367" s="75"/>
      <c r="H367" s="20"/>
      <c r="I367" s="21"/>
    </row>
    <row r="368" spans="2:9" x14ac:dyDescent="0.3">
      <c r="B368" s="53"/>
      <c r="C368" s="14"/>
      <c r="D368" s="17"/>
      <c r="E368" s="22"/>
      <c r="F368" s="75"/>
      <c r="G368" s="75"/>
      <c r="H368" s="20"/>
      <c r="I368" s="21"/>
    </row>
    <row r="369" spans="2:9" x14ac:dyDescent="0.3">
      <c r="B369" s="53"/>
      <c r="C369" s="14"/>
      <c r="D369" s="17"/>
      <c r="E369" s="22"/>
      <c r="F369" s="75"/>
      <c r="G369" s="75"/>
      <c r="H369" s="20"/>
      <c r="I369" s="21"/>
    </row>
    <row r="370" spans="2:9" x14ac:dyDescent="0.3">
      <c r="B370" s="53"/>
      <c r="C370" s="14"/>
      <c r="D370" s="17"/>
      <c r="E370" s="22"/>
      <c r="F370" s="75"/>
      <c r="G370" s="75"/>
      <c r="H370" s="20"/>
      <c r="I370" s="19"/>
    </row>
    <row r="371" spans="2:9" x14ac:dyDescent="0.3">
      <c r="B371" s="53"/>
      <c r="C371" s="14"/>
      <c r="D371" s="17"/>
      <c r="E371" s="22"/>
      <c r="F371" s="75"/>
      <c r="G371" s="75"/>
      <c r="H371" s="20"/>
      <c r="I371" s="21"/>
    </row>
    <row r="372" spans="2:9" x14ac:dyDescent="0.3">
      <c r="B372" s="53"/>
      <c r="C372" s="14"/>
      <c r="D372" s="17"/>
      <c r="E372" s="22"/>
      <c r="F372" s="76"/>
      <c r="G372" s="75"/>
      <c r="H372" s="18"/>
      <c r="I372" s="21"/>
    </row>
    <row r="373" spans="2:9" x14ac:dyDescent="0.3">
      <c r="B373" s="53"/>
      <c r="C373" s="14"/>
      <c r="D373" s="17"/>
      <c r="E373" s="22"/>
      <c r="F373" s="75"/>
      <c r="G373" s="75"/>
      <c r="H373" s="20"/>
      <c r="I373" s="21"/>
    </row>
    <row r="374" spans="2:9" x14ac:dyDescent="0.3">
      <c r="B374" s="53"/>
      <c r="C374" s="14"/>
      <c r="D374" s="17"/>
      <c r="E374" s="22"/>
      <c r="F374" s="75"/>
      <c r="G374" s="75"/>
      <c r="H374" s="20"/>
      <c r="I374" s="21"/>
    </row>
    <row r="375" spans="2:9" x14ac:dyDescent="0.3">
      <c r="B375" s="53"/>
      <c r="C375" s="14"/>
      <c r="D375" s="17"/>
      <c r="E375" s="22"/>
      <c r="F375" s="75"/>
      <c r="G375" s="75"/>
      <c r="H375" s="20"/>
      <c r="I375" s="21"/>
    </row>
    <row r="376" spans="2:9" x14ac:dyDescent="0.3">
      <c r="B376" s="53"/>
      <c r="C376" s="14"/>
      <c r="D376" s="17"/>
      <c r="E376" s="22"/>
      <c r="F376" s="75"/>
      <c r="G376" s="75"/>
      <c r="H376" s="20"/>
      <c r="I376" s="21"/>
    </row>
    <row r="377" spans="2:9" x14ac:dyDescent="0.3">
      <c r="B377" s="53"/>
      <c r="C377" s="14"/>
      <c r="D377" s="17"/>
      <c r="E377" s="22"/>
      <c r="F377" s="75"/>
      <c r="G377" s="75"/>
      <c r="H377" s="20"/>
      <c r="I377" s="19"/>
    </row>
    <row r="378" spans="2:9" x14ac:dyDescent="0.3">
      <c r="B378" s="53"/>
      <c r="C378" s="14"/>
      <c r="D378" s="17"/>
      <c r="E378" s="22"/>
      <c r="F378" s="75"/>
      <c r="G378" s="75"/>
      <c r="H378" s="20"/>
      <c r="I378" s="21"/>
    </row>
    <row r="379" spans="2:9" x14ac:dyDescent="0.3">
      <c r="B379" s="53"/>
      <c r="C379" s="14"/>
      <c r="D379" s="17"/>
      <c r="E379" s="22"/>
      <c r="F379" s="76"/>
      <c r="G379" s="75"/>
      <c r="H379" s="18"/>
      <c r="I379" s="21"/>
    </row>
    <row r="380" spans="2:9" x14ac:dyDescent="0.3">
      <c r="B380" s="53"/>
      <c r="C380" s="14"/>
      <c r="D380" s="17"/>
      <c r="E380" s="22"/>
      <c r="F380" s="75"/>
      <c r="G380" s="75"/>
      <c r="H380" s="20"/>
      <c r="I380" s="21"/>
    </row>
    <row r="381" spans="2:9" x14ac:dyDescent="0.3">
      <c r="B381" s="53"/>
      <c r="C381" s="14"/>
      <c r="D381" s="17"/>
      <c r="E381" s="22"/>
      <c r="F381" s="75"/>
      <c r="G381" s="75"/>
      <c r="H381" s="20"/>
      <c r="I381" s="21"/>
    </row>
    <row r="382" spans="2:9" x14ac:dyDescent="0.3">
      <c r="B382" s="53"/>
      <c r="C382" s="14"/>
      <c r="D382" s="17"/>
      <c r="E382" s="22"/>
      <c r="F382" s="75"/>
      <c r="G382" s="75"/>
      <c r="H382" s="20"/>
      <c r="I382" s="21"/>
    </row>
    <row r="383" spans="2:9" x14ac:dyDescent="0.3">
      <c r="B383" s="53"/>
      <c r="C383" s="14"/>
      <c r="D383" s="17"/>
      <c r="E383" s="22"/>
      <c r="F383" s="75"/>
      <c r="G383" s="75"/>
      <c r="H383" s="20"/>
      <c r="I383" s="21"/>
    </row>
    <row r="384" spans="2:9" x14ac:dyDescent="0.3">
      <c r="B384" s="53"/>
      <c r="C384" s="14"/>
      <c r="D384" s="17"/>
      <c r="E384" s="22"/>
      <c r="F384" s="75"/>
      <c r="G384" s="75"/>
      <c r="H384" s="20"/>
      <c r="I384" s="21"/>
    </row>
    <row r="385" spans="2:9" x14ac:dyDescent="0.3">
      <c r="B385" s="53"/>
      <c r="C385" s="14"/>
      <c r="D385" s="17"/>
      <c r="E385" s="22"/>
      <c r="F385" s="75"/>
      <c r="G385" s="75"/>
      <c r="H385" s="20"/>
      <c r="I385" s="21"/>
    </row>
    <row r="386" spans="2:9" x14ac:dyDescent="0.3">
      <c r="B386" s="53"/>
      <c r="C386" s="14"/>
      <c r="D386" s="17"/>
      <c r="E386" s="22"/>
      <c r="F386" s="75"/>
      <c r="G386" s="75"/>
      <c r="H386" s="20"/>
      <c r="I386" s="21"/>
    </row>
    <row r="387" spans="2:9" x14ac:dyDescent="0.3">
      <c r="B387" s="53"/>
      <c r="C387" s="14"/>
      <c r="D387" s="17"/>
      <c r="E387" s="22"/>
      <c r="F387" s="75"/>
      <c r="G387" s="75"/>
      <c r="H387" s="20"/>
      <c r="I387" s="19"/>
    </row>
    <row r="388" spans="2:9" x14ac:dyDescent="0.3">
      <c r="B388" s="53"/>
      <c r="C388" s="14"/>
      <c r="D388" s="17"/>
      <c r="E388" s="22"/>
      <c r="F388" s="75"/>
      <c r="G388" s="75"/>
      <c r="H388" s="20"/>
      <c r="I388" s="21"/>
    </row>
    <row r="389" spans="2:9" x14ac:dyDescent="0.3">
      <c r="B389" s="53"/>
      <c r="C389" s="14"/>
      <c r="D389" s="17"/>
      <c r="E389" s="22"/>
      <c r="F389" s="76"/>
      <c r="G389" s="75"/>
      <c r="H389" s="18"/>
      <c r="I389" s="21"/>
    </row>
    <row r="390" spans="2:9" x14ac:dyDescent="0.3">
      <c r="B390" s="53"/>
      <c r="C390" s="14"/>
      <c r="D390" s="17"/>
      <c r="E390" s="22"/>
      <c r="F390" s="75"/>
      <c r="G390" s="75"/>
      <c r="H390" s="20"/>
      <c r="I390" s="21"/>
    </row>
    <row r="391" spans="2:9" x14ac:dyDescent="0.3">
      <c r="B391" s="53"/>
      <c r="C391" s="14"/>
      <c r="D391" s="17"/>
      <c r="E391" s="22"/>
      <c r="F391" s="75"/>
      <c r="G391" s="75"/>
      <c r="H391" s="20"/>
      <c r="I391" s="21"/>
    </row>
    <row r="392" spans="2:9" x14ac:dyDescent="0.3">
      <c r="B392" s="53"/>
      <c r="C392" s="14"/>
      <c r="D392" s="17"/>
      <c r="E392" s="22"/>
      <c r="F392" s="75"/>
      <c r="G392" s="75"/>
      <c r="H392" s="20"/>
      <c r="I392" s="21"/>
    </row>
    <row r="393" spans="2:9" x14ac:dyDescent="0.3">
      <c r="B393" s="54"/>
      <c r="C393" s="16"/>
      <c r="D393" s="17"/>
      <c r="E393" s="22"/>
      <c r="F393" s="75"/>
      <c r="G393" s="75"/>
      <c r="H393" s="20"/>
      <c r="I393" s="21"/>
    </row>
    <row r="394" spans="2:9" x14ac:dyDescent="0.3">
      <c r="B394" s="53"/>
      <c r="C394" s="14"/>
      <c r="D394" s="17"/>
      <c r="E394" s="22"/>
      <c r="F394" s="75"/>
      <c r="G394" s="75"/>
      <c r="H394" s="20"/>
      <c r="I394" s="24"/>
    </row>
    <row r="395" spans="2:9" x14ac:dyDescent="0.3">
      <c r="B395" s="53"/>
      <c r="C395" s="14"/>
      <c r="D395" s="17"/>
      <c r="E395" s="22"/>
      <c r="F395" s="75"/>
      <c r="G395" s="75"/>
      <c r="H395" s="20"/>
      <c r="I395" s="21"/>
    </row>
    <row r="396" spans="2:9" x14ac:dyDescent="0.3">
      <c r="B396" s="53"/>
      <c r="C396" s="14"/>
      <c r="D396" s="17"/>
      <c r="E396" s="22"/>
      <c r="F396" s="77"/>
      <c r="G396" s="78"/>
      <c r="H396" s="23"/>
      <c r="I396" s="21"/>
    </row>
    <row r="397" spans="2:9" x14ac:dyDescent="0.3">
      <c r="B397" s="53"/>
      <c r="C397" s="14"/>
      <c r="D397" s="17"/>
      <c r="E397" s="22"/>
      <c r="F397" s="75"/>
      <c r="G397" s="75"/>
      <c r="H397" s="20"/>
      <c r="I397" s="21"/>
    </row>
    <row r="398" spans="2:9" x14ac:dyDescent="0.3">
      <c r="B398" s="53"/>
      <c r="C398" s="14"/>
      <c r="D398" s="17"/>
      <c r="E398" s="22"/>
      <c r="F398" s="75"/>
      <c r="G398" s="75"/>
      <c r="H398" s="20"/>
      <c r="I398" s="21"/>
    </row>
    <row r="399" spans="2:9" x14ac:dyDescent="0.3">
      <c r="B399" s="53"/>
      <c r="C399" s="14"/>
      <c r="D399" s="17"/>
      <c r="E399" s="22"/>
      <c r="F399" s="75"/>
      <c r="G399" s="75"/>
      <c r="H399" s="20"/>
      <c r="I399" s="19"/>
    </row>
    <row r="400" spans="2:9" x14ac:dyDescent="0.3">
      <c r="B400" s="53"/>
      <c r="C400" s="14"/>
      <c r="D400" s="17"/>
      <c r="E400" s="22"/>
      <c r="F400" s="75"/>
      <c r="G400" s="75"/>
      <c r="H400" s="20"/>
      <c r="I400" s="21"/>
    </row>
    <row r="401" spans="2:9" x14ac:dyDescent="0.3">
      <c r="B401" s="54"/>
      <c r="C401" s="16"/>
      <c r="D401" s="17"/>
      <c r="E401" s="22"/>
      <c r="F401" s="76"/>
      <c r="G401" s="75"/>
      <c r="H401" s="18"/>
      <c r="I401" s="21"/>
    </row>
    <row r="402" spans="2:9" x14ac:dyDescent="0.3">
      <c r="B402" s="53"/>
      <c r="C402" s="14"/>
      <c r="D402" s="17"/>
      <c r="E402" s="22"/>
      <c r="F402" s="75"/>
      <c r="G402" s="75"/>
      <c r="H402" s="20"/>
      <c r="I402" s="21"/>
    </row>
    <row r="403" spans="2:9" x14ac:dyDescent="0.3">
      <c r="B403" s="53"/>
      <c r="C403" s="14"/>
      <c r="D403" s="17"/>
      <c r="E403" s="22"/>
      <c r="F403" s="75"/>
      <c r="G403" s="75"/>
      <c r="H403" s="20"/>
      <c r="I403" s="21"/>
    </row>
    <row r="404" spans="2:9" x14ac:dyDescent="0.3">
      <c r="B404" s="53"/>
      <c r="C404" s="14"/>
      <c r="D404" s="17"/>
      <c r="E404" s="22"/>
      <c r="F404" s="75"/>
      <c r="G404" s="75"/>
      <c r="H404" s="20"/>
      <c r="I404" s="21"/>
    </row>
    <row r="405" spans="2:9" x14ac:dyDescent="0.3">
      <c r="B405" s="53"/>
      <c r="C405" s="14"/>
      <c r="D405" s="17"/>
      <c r="E405" s="22"/>
      <c r="F405" s="75"/>
      <c r="G405" s="75"/>
      <c r="H405" s="20"/>
      <c r="I405" s="19"/>
    </row>
    <row r="406" spans="2:9" x14ac:dyDescent="0.3">
      <c r="B406" s="53"/>
      <c r="C406" s="14"/>
      <c r="D406" s="17"/>
      <c r="E406" s="22"/>
      <c r="F406" s="75"/>
      <c r="G406" s="75"/>
      <c r="H406" s="20"/>
      <c r="I406" s="21"/>
    </row>
    <row r="407" spans="2:9" x14ac:dyDescent="0.3">
      <c r="B407" s="55"/>
      <c r="C407" s="83"/>
      <c r="D407" s="17"/>
      <c r="E407" s="22"/>
      <c r="F407" s="76"/>
      <c r="G407" s="75"/>
      <c r="H407" s="18"/>
      <c r="I407" s="21"/>
    </row>
    <row r="408" spans="2:9" x14ac:dyDescent="0.3">
      <c r="B408" s="53"/>
      <c r="C408" s="14"/>
      <c r="D408" s="17"/>
      <c r="E408" s="22"/>
      <c r="F408" s="75"/>
      <c r="G408" s="75"/>
      <c r="H408" s="20"/>
      <c r="I408" s="21"/>
    </row>
    <row r="409" spans="2:9" x14ac:dyDescent="0.3">
      <c r="B409" s="53"/>
      <c r="C409" s="14"/>
      <c r="D409" s="17"/>
      <c r="E409" s="22"/>
      <c r="F409" s="75"/>
      <c r="G409" s="75"/>
      <c r="H409" s="20"/>
      <c r="I409" s="21"/>
    </row>
    <row r="410" spans="2:9" x14ac:dyDescent="0.3">
      <c r="B410" s="53"/>
      <c r="C410" s="14"/>
      <c r="D410" s="17"/>
      <c r="E410" s="22"/>
      <c r="F410" s="75"/>
      <c r="G410" s="75"/>
      <c r="H410" s="20"/>
      <c r="I410" s="21"/>
    </row>
    <row r="411" spans="2:9" x14ac:dyDescent="0.3">
      <c r="B411" s="54"/>
      <c r="C411" s="16"/>
      <c r="D411" s="17"/>
      <c r="E411" s="22"/>
      <c r="F411" s="75"/>
      <c r="G411" s="75"/>
      <c r="H411" s="20"/>
      <c r="I411" s="19"/>
    </row>
    <row r="412" spans="2:9" x14ac:dyDescent="0.3">
      <c r="B412" s="52"/>
      <c r="C412" s="16"/>
      <c r="D412" s="17"/>
      <c r="E412" s="22"/>
      <c r="F412" s="75"/>
      <c r="G412" s="75"/>
      <c r="H412" s="20"/>
      <c r="I412" s="21"/>
    </row>
    <row r="413" spans="2:9" x14ac:dyDescent="0.3">
      <c r="B413" s="53"/>
      <c r="C413" s="14"/>
      <c r="D413" s="17"/>
      <c r="E413" s="22"/>
      <c r="F413" s="76"/>
      <c r="G413" s="75"/>
      <c r="H413" s="18"/>
      <c r="I413" s="21"/>
    </row>
    <row r="414" spans="2:9" x14ac:dyDescent="0.3">
      <c r="B414" s="53"/>
      <c r="C414" s="14"/>
      <c r="D414" s="17"/>
      <c r="E414" s="22"/>
      <c r="F414" s="75"/>
      <c r="G414" s="75"/>
      <c r="H414" s="20"/>
      <c r="I414" s="21"/>
    </row>
    <row r="415" spans="2:9" x14ac:dyDescent="0.3">
      <c r="B415" s="52"/>
      <c r="C415" s="16"/>
      <c r="D415" s="17"/>
      <c r="E415" s="22"/>
      <c r="F415" s="75"/>
      <c r="G415" s="75"/>
      <c r="H415" s="20"/>
      <c r="I415" s="19"/>
    </row>
    <row r="416" spans="2:9" x14ac:dyDescent="0.3">
      <c r="B416" s="53"/>
      <c r="C416" s="14"/>
      <c r="D416" s="17"/>
      <c r="E416" s="22"/>
      <c r="F416" s="75"/>
      <c r="G416" s="75"/>
      <c r="H416" s="20"/>
      <c r="I416" s="21"/>
    </row>
    <row r="417" spans="2:9" x14ac:dyDescent="0.3">
      <c r="B417" s="53"/>
      <c r="C417" s="14"/>
      <c r="D417" s="17"/>
      <c r="E417" s="22"/>
      <c r="F417" s="76"/>
      <c r="G417" s="75"/>
      <c r="H417" s="18"/>
      <c r="I417" s="21"/>
    </row>
    <row r="418" spans="2:9" x14ac:dyDescent="0.3">
      <c r="B418" s="53"/>
      <c r="C418" s="14"/>
      <c r="D418" s="17"/>
      <c r="E418" s="22"/>
      <c r="F418" s="75"/>
      <c r="G418" s="75"/>
      <c r="H418" s="20"/>
      <c r="I418" s="21"/>
    </row>
    <row r="419" spans="2:9" x14ac:dyDescent="0.3">
      <c r="B419" s="53"/>
      <c r="C419" s="14"/>
      <c r="D419" s="17"/>
      <c r="E419" s="22"/>
      <c r="F419" s="75"/>
      <c r="G419" s="75"/>
      <c r="H419" s="20"/>
      <c r="I419" s="19"/>
    </row>
    <row r="420" spans="2:9" x14ac:dyDescent="0.3">
      <c r="B420" s="53"/>
      <c r="C420" s="14"/>
      <c r="D420" s="17"/>
      <c r="E420" s="22"/>
      <c r="F420" s="75"/>
      <c r="G420" s="75"/>
      <c r="H420" s="20"/>
      <c r="I420" s="21"/>
    </row>
    <row r="421" spans="2:9" x14ac:dyDescent="0.3">
      <c r="B421" s="52"/>
      <c r="C421" s="16"/>
      <c r="D421" s="17"/>
      <c r="E421" s="22"/>
      <c r="F421" s="76"/>
      <c r="G421" s="75"/>
      <c r="H421" s="18"/>
      <c r="I421" s="21"/>
    </row>
    <row r="422" spans="2:9" x14ac:dyDescent="0.3">
      <c r="B422" s="53"/>
      <c r="C422" s="14"/>
      <c r="D422" s="17"/>
      <c r="E422" s="22"/>
      <c r="F422" s="75"/>
      <c r="G422" s="75"/>
      <c r="H422" s="20"/>
      <c r="I422" s="21"/>
    </row>
    <row r="423" spans="2:9" x14ac:dyDescent="0.3">
      <c r="B423" s="53"/>
      <c r="C423" s="14"/>
      <c r="D423" s="17"/>
      <c r="E423" s="22"/>
      <c r="F423" s="75"/>
      <c r="G423" s="75"/>
      <c r="H423" s="20"/>
      <c r="I423" s="21"/>
    </row>
    <row r="424" spans="2:9" x14ac:dyDescent="0.3">
      <c r="B424" s="52"/>
      <c r="C424" s="16"/>
      <c r="D424" s="17"/>
      <c r="E424" s="22"/>
      <c r="F424" s="75"/>
      <c r="G424" s="75"/>
      <c r="H424" s="20"/>
      <c r="I424" s="21"/>
    </row>
    <row r="425" spans="2:9" x14ac:dyDescent="0.3">
      <c r="B425" s="53"/>
      <c r="C425" s="14"/>
      <c r="D425" s="17"/>
      <c r="E425" s="22"/>
      <c r="F425" s="75"/>
      <c r="G425" s="75"/>
      <c r="H425" s="20"/>
      <c r="I425" s="21"/>
    </row>
    <row r="426" spans="2:9" x14ac:dyDescent="0.3">
      <c r="B426" s="53"/>
      <c r="C426" s="14"/>
      <c r="D426" s="17"/>
      <c r="E426" s="22"/>
      <c r="F426" s="75"/>
      <c r="G426" s="75"/>
      <c r="H426" s="20"/>
      <c r="I426" s="21"/>
    </row>
    <row r="427" spans="2:9" x14ac:dyDescent="0.3">
      <c r="B427" s="53"/>
      <c r="C427" s="14"/>
      <c r="D427" s="17"/>
      <c r="E427" s="22"/>
      <c r="F427" s="75"/>
      <c r="G427" s="75"/>
      <c r="H427" s="20"/>
      <c r="I427" s="21"/>
    </row>
    <row r="428" spans="2:9" x14ac:dyDescent="0.3">
      <c r="B428" s="53"/>
      <c r="C428" s="14"/>
      <c r="D428" s="17"/>
      <c r="E428" s="22"/>
      <c r="F428" s="75"/>
      <c r="G428" s="75"/>
      <c r="H428" s="20"/>
      <c r="I428" s="21"/>
    </row>
    <row r="429" spans="2:9" x14ac:dyDescent="0.3">
      <c r="B429" s="53"/>
      <c r="C429" s="14"/>
      <c r="D429" s="17"/>
      <c r="E429" s="22"/>
      <c r="F429" s="75"/>
      <c r="G429" s="75"/>
      <c r="H429" s="20"/>
      <c r="I429" s="21"/>
    </row>
    <row r="430" spans="2:9" x14ac:dyDescent="0.3">
      <c r="B430" s="53"/>
      <c r="C430" s="14"/>
      <c r="D430" s="17"/>
      <c r="E430" s="22"/>
      <c r="F430" s="75"/>
      <c r="G430" s="75"/>
      <c r="H430" s="20"/>
      <c r="I430" s="19"/>
    </row>
    <row r="431" spans="2:9" x14ac:dyDescent="0.3">
      <c r="B431" s="53"/>
      <c r="C431" s="14"/>
      <c r="D431" s="17"/>
      <c r="E431" s="22"/>
      <c r="F431" s="75"/>
      <c r="G431" s="75"/>
      <c r="H431" s="20"/>
      <c r="I431" s="21"/>
    </row>
    <row r="432" spans="2:9" x14ac:dyDescent="0.3">
      <c r="B432" s="53"/>
      <c r="C432" s="14"/>
      <c r="D432" s="17"/>
      <c r="E432" s="22"/>
      <c r="F432" s="76"/>
      <c r="G432" s="75"/>
      <c r="H432" s="18"/>
      <c r="I432" s="21"/>
    </row>
    <row r="433" spans="2:9" x14ac:dyDescent="0.3">
      <c r="B433" s="53"/>
      <c r="C433" s="14"/>
      <c r="D433" s="17"/>
      <c r="E433" s="22"/>
      <c r="F433" s="75"/>
      <c r="G433" s="75"/>
      <c r="H433" s="20"/>
      <c r="I433" s="21"/>
    </row>
    <row r="434" spans="2:9" x14ac:dyDescent="0.3">
      <c r="B434" s="53"/>
      <c r="C434" s="14"/>
      <c r="D434" s="17"/>
      <c r="E434" s="22"/>
      <c r="F434" s="75"/>
      <c r="G434" s="75"/>
      <c r="H434" s="20"/>
      <c r="I434" s="21"/>
    </row>
    <row r="435" spans="2:9" x14ac:dyDescent="0.3">
      <c r="B435" s="53"/>
      <c r="C435" s="14"/>
      <c r="D435" s="17"/>
      <c r="E435" s="22"/>
      <c r="F435" s="75"/>
      <c r="G435" s="75"/>
      <c r="H435" s="20"/>
      <c r="I435" s="21"/>
    </row>
    <row r="436" spans="2:9" x14ac:dyDescent="0.3">
      <c r="B436" s="53"/>
      <c r="C436" s="14"/>
      <c r="D436" s="17"/>
      <c r="E436" s="22"/>
      <c r="F436" s="75"/>
      <c r="G436" s="75"/>
      <c r="H436" s="20"/>
      <c r="I436" s="21"/>
    </row>
    <row r="437" spans="2:9" x14ac:dyDescent="0.3">
      <c r="B437" s="53"/>
      <c r="C437" s="14"/>
      <c r="D437" s="17"/>
      <c r="E437" s="22"/>
      <c r="F437" s="75"/>
      <c r="G437" s="75"/>
      <c r="H437" s="20"/>
      <c r="I437" s="21"/>
    </row>
    <row r="438" spans="2:9" x14ac:dyDescent="0.3">
      <c r="B438" s="53"/>
      <c r="C438" s="14"/>
      <c r="D438" s="17"/>
      <c r="E438" s="22"/>
      <c r="F438" s="75"/>
      <c r="G438" s="75"/>
      <c r="H438" s="20"/>
      <c r="I438" s="21"/>
    </row>
    <row r="439" spans="2:9" x14ac:dyDescent="0.3">
      <c r="B439" s="53"/>
      <c r="C439" s="14"/>
      <c r="D439" s="17"/>
      <c r="E439" s="22"/>
      <c r="F439" s="75"/>
      <c r="G439" s="75"/>
      <c r="H439" s="20"/>
      <c r="I439" s="21"/>
    </row>
    <row r="440" spans="2:9" x14ac:dyDescent="0.3">
      <c r="B440" s="53"/>
      <c r="C440" s="14"/>
      <c r="D440" s="17"/>
      <c r="E440" s="22"/>
      <c r="F440" s="75"/>
      <c r="G440" s="75"/>
      <c r="H440" s="20"/>
      <c r="I440" s="21"/>
    </row>
    <row r="441" spans="2:9" x14ac:dyDescent="0.3">
      <c r="B441" s="53"/>
      <c r="C441" s="14"/>
      <c r="D441" s="17"/>
      <c r="E441" s="22"/>
      <c r="F441" s="75"/>
      <c r="G441" s="75"/>
      <c r="H441" s="20"/>
      <c r="I441" s="21"/>
    </row>
    <row r="442" spans="2:9" x14ac:dyDescent="0.3">
      <c r="B442" s="53"/>
      <c r="C442" s="14"/>
      <c r="D442" s="17"/>
      <c r="E442" s="22"/>
      <c r="F442" s="75"/>
      <c r="G442" s="75"/>
      <c r="H442" s="20"/>
      <c r="I442" s="21"/>
    </row>
    <row r="443" spans="2:9" x14ac:dyDescent="0.3">
      <c r="B443" s="53"/>
      <c r="C443" s="14"/>
      <c r="D443" s="17"/>
      <c r="E443" s="22"/>
      <c r="F443" s="75"/>
      <c r="G443" s="75"/>
      <c r="H443" s="20"/>
      <c r="I443" s="21"/>
    </row>
    <row r="444" spans="2:9" x14ac:dyDescent="0.3">
      <c r="B444" s="53"/>
      <c r="C444" s="14"/>
      <c r="D444" s="17"/>
      <c r="E444" s="22"/>
      <c r="F444" s="75"/>
      <c r="G444" s="75"/>
      <c r="H444" s="20"/>
      <c r="I444" s="21"/>
    </row>
    <row r="445" spans="2:9" x14ac:dyDescent="0.3">
      <c r="B445" s="53"/>
      <c r="C445" s="14"/>
      <c r="D445" s="17"/>
      <c r="E445" s="22"/>
      <c r="F445" s="75"/>
      <c r="G445" s="75"/>
      <c r="H445" s="20"/>
      <c r="I445" s="21"/>
    </row>
    <row r="446" spans="2:9" x14ac:dyDescent="0.3">
      <c r="B446" s="53"/>
      <c r="C446" s="14"/>
      <c r="D446" s="17"/>
      <c r="E446" s="22"/>
      <c r="F446" s="75"/>
      <c r="G446" s="75"/>
      <c r="H446" s="20"/>
      <c r="I446" s="21"/>
    </row>
    <row r="447" spans="2:9" x14ac:dyDescent="0.3">
      <c r="B447" s="53"/>
      <c r="C447" s="14"/>
      <c r="D447" s="17"/>
      <c r="E447" s="22"/>
      <c r="F447" s="75"/>
      <c r="G447" s="75"/>
      <c r="H447" s="20"/>
      <c r="I447" s="21"/>
    </row>
    <row r="448" spans="2:9" x14ac:dyDescent="0.3">
      <c r="B448" s="53"/>
      <c r="C448" s="14"/>
      <c r="D448" s="17"/>
      <c r="E448" s="22"/>
      <c r="F448" s="75"/>
      <c r="G448" s="75"/>
      <c r="H448" s="20"/>
      <c r="I448" s="21"/>
    </row>
    <row r="449" spans="2:9" x14ac:dyDescent="0.3">
      <c r="B449" s="53"/>
      <c r="C449" s="14"/>
      <c r="D449" s="17"/>
      <c r="E449" s="22"/>
      <c r="F449" s="75"/>
      <c r="G449" s="75"/>
      <c r="H449" s="20"/>
      <c r="I449" s="21"/>
    </row>
    <row r="450" spans="2:9" x14ac:dyDescent="0.3">
      <c r="B450" s="53"/>
      <c r="C450" s="14"/>
      <c r="D450" s="17"/>
      <c r="E450" s="22"/>
      <c r="F450" s="75"/>
      <c r="G450" s="75"/>
      <c r="H450" s="20"/>
      <c r="I450" s="21"/>
    </row>
    <row r="451" spans="2:9" x14ac:dyDescent="0.3">
      <c r="B451" s="53"/>
      <c r="C451" s="14"/>
      <c r="D451" s="17"/>
      <c r="E451" s="22"/>
      <c r="F451" s="75"/>
      <c r="G451" s="75"/>
      <c r="H451" s="20"/>
      <c r="I451" s="21"/>
    </row>
    <row r="452" spans="2:9" x14ac:dyDescent="0.3">
      <c r="B452" s="53"/>
      <c r="C452" s="14"/>
      <c r="D452" s="17"/>
      <c r="E452" s="22"/>
      <c r="F452" s="75"/>
      <c r="G452" s="75"/>
      <c r="H452" s="20"/>
      <c r="I452" s="21"/>
    </row>
    <row r="453" spans="2:9" x14ac:dyDescent="0.3">
      <c r="B453" s="54"/>
      <c r="C453" s="16"/>
      <c r="D453" s="17"/>
      <c r="E453" s="22"/>
      <c r="F453" s="75"/>
      <c r="G453" s="75"/>
      <c r="H453" s="20"/>
      <c r="I453" s="21"/>
    </row>
    <row r="454" spans="2:9" x14ac:dyDescent="0.3">
      <c r="B454" s="53"/>
      <c r="C454" s="14"/>
      <c r="D454" s="17"/>
      <c r="E454" s="22"/>
      <c r="F454" s="75"/>
      <c r="G454" s="75"/>
      <c r="H454" s="20"/>
      <c r="I454" s="21"/>
    </row>
    <row r="455" spans="2:9" x14ac:dyDescent="0.3">
      <c r="B455" s="53"/>
      <c r="C455" s="14"/>
      <c r="D455" s="17"/>
      <c r="E455" s="22"/>
      <c r="F455" s="75"/>
      <c r="G455" s="75"/>
      <c r="H455" s="20"/>
      <c r="I455" s="21"/>
    </row>
    <row r="456" spans="2:9" x14ac:dyDescent="0.3">
      <c r="B456" s="52"/>
      <c r="C456" s="16"/>
      <c r="D456" s="17"/>
      <c r="E456" s="22"/>
      <c r="F456" s="75"/>
      <c r="G456" s="75"/>
      <c r="H456" s="20"/>
      <c r="I456" s="21"/>
    </row>
    <row r="457" spans="2:9" x14ac:dyDescent="0.3">
      <c r="B457" s="53"/>
      <c r="C457" s="14"/>
      <c r="D457" s="17"/>
      <c r="E457" s="22"/>
      <c r="F457" s="75"/>
      <c r="G457" s="75"/>
      <c r="H457" s="20"/>
      <c r="I457" s="21"/>
    </row>
    <row r="458" spans="2:9" x14ac:dyDescent="0.3">
      <c r="B458" s="53"/>
      <c r="C458" s="14"/>
      <c r="D458" s="17"/>
      <c r="E458" s="22"/>
      <c r="F458" s="75"/>
      <c r="G458" s="75"/>
      <c r="H458" s="20"/>
      <c r="I458" s="21"/>
    </row>
    <row r="459" spans="2:9" x14ac:dyDescent="0.3">
      <c r="B459" s="53"/>
      <c r="C459" s="14"/>
      <c r="D459" s="17"/>
      <c r="E459" s="22"/>
      <c r="F459" s="75"/>
      <c r="G459" s="75"/>
      <c r="H459" s="20"/>
      <c r="I459" s="21"/>
    </row>
    <row r="460" spans="2:9" x14ac:dyDescent="0.3">
      <c r="B460" s="54"/>
      <c r="C460" s="16"/>
      <c r="D460" s="17"/>
      <c r="E460" s="22"/>
      <c r="F460" s="75"/>
      <c r="G460" s="75"/>
      <c r="H460" s="20"/>
      <c r="I460" s="21"/>
    </row>
    <row r="461" spans="2:9" x14ac:dyDescent="0.3">
      <c r="B461" s="53"/>
      <c r="C461" s="14"/>
      <c r="D461" s="17"/>
      <c r="E461" s="22"/>
      <c r="F461" s="75"/>
      <c r="G461" s="75"/>
      <c r="H461" s="20"/>
      <c r="I461" s="21"/>
    </row>
    <row r="462" spans="2:9" x14ac:dyDescent="0.3">
      <c r="B462" s="53"/>
      <c r="C462" s="14"/>
      <c r="D462" s="17"/>
      <c r="E462" s="22"/>
      <c r="F462" s="75"/>
      <c r="G462" s="75"/>
      <c r="H462" s="20"/>
      <c r="I462" s="21"/>
    </row>
    <row r="463" spans="2:9" x14ac:dyDescent="0.3">
      <c r="B463" s="53"/>
      <c r="C463" s="14"/>
      <c r="D463" s="17"/>
      <c r="E463" s="22"/>
      <c r="F463" s="75"/>
      <c r="G463" s="75"/>
      <c r="H463" s="20"/>
      <c r="I463" s="21"/>
    </row>
    <row r="464" spans="2:9" x14ac:dyDescent="0.3">
      <c r="B464" s="53"/>
      <c r="C464" s="14"/>
      <c r="D464" s="17"/>
      <c r="E464" s="22"/>
      <c r="F464" s="75"/>
      <c r="G464" s="75"/>
      <c r="H464" s="20"/>
      <c r="I464" s="21"/>
    </row>
    <row r="465" spans="2:9" x14ac:dyDescent="0.3">
      <c r="B465" s="53"/>
      <c r="C465" s="14"/>
      <c r="D465" s="17"/>
      <c r="E465" s="22"/>
      <c r="F465" s="75"/>
      <c r="G465" s="75"/>
      <c r="H465" s="20"/>
      <c r="I465" s="21"/>
    </row>
    <row r="466" spans="2:9" x14ac:dyDescent="0.3">
      <c r="B466" s="53"/>
      <c r="C466" s="14"/>
      <c r="D466" s="17"/>
      <c r="E466" s="22"/>
      <c r="F466" s="75"/>
      <c r="G466" s="75"/>
      <c r="H466" s="20"/>
      <c r="I466" s="21"/>
    </row>
    <row r="467" spans="2:9" x14ac:dyDescent="0.3">
      <c r="B467" s="54"/>
      <c r="C467" s="16"/>
      <c r="D467" s="17"/>
      <c r="E467" s="22"/>
      <c r="F467" s="75"/>
      <c r="G467" s="75"/>
      <c r="H467" s="20"/>
      <c r="I467" s="21"/>
    </row>
    <row r="468" spans="2:9" x14ac:dyDescent="0.3">
      <c r="B468" s="53"/>
      <c r="C468" s="14"/>
      <c r="D468" s="17"/>
      <c r="E468" s="22"/>
      <c r="F468" s="75"/>
      <c r="G468" s="75"/>
      <c r="H468" s="20"/>
      <c r="I468" s="21"/>
    </row>
    <row r="469" spans="2:9" x14ac:dyDescent="0.3">
      <c r="B469" s="53"/>
      <c r="C469" s="14"/>
      <c r="D469" s="17"/>
      <c r="E469" s="22"/>
      <c r="F469" s="75"/>
      <c r="G469" s="75"/>
      <c r="H469" s="20"/>
      <c r="I469" s="21"/>
    </row>
    <row r="470" spans="2:9" x14ac:dyDescent="0.3">
      <c r="B470" s="53"/>
      <c r="C470" s="14"/>
      <c r="D470" s="17"/>
      <c r="E470" s="22"/>
      <c r="F470" s="75"/>
      <c r="G470" s="75"/>
      <c r="H470" s="20"/>
      <c r="I470" s="21"/>
    </row>
    <row r="471" spans="2:9" x14ac:dyDescent="0.3">
      <c r="B471" s="53"/>
      <c r="C471" s="14"/>
      <c r="D471" s="17"/>
      <c r="E471" s="22"/>
      <c r="F471" s="75"/>
      <c r="G471" s="75"/>
      <c r="H471" s="20"/>
      <c r="I471" s="21"/>
    </row>
    <row r="472" spans="2:9" x14ac:dyDescent="0.3">
      <c r="B472" s="53"/>
      <c r="C472" s="14"/>
      <c r="D472" s="17"/>
      <c r="E472" s="22"/>
      <c r="F472" s="75"/>
      <c r="G472" s="75"/>
      <c r="H472" s="20"/>
      <c r="I472" s="21"/>
    </row>
    <row r="473" spans="2:9" x14ac:dyDescent="0.3">
      <c r="B473" s="53"/>
      <c r="C473" s="14"/>
      <c r="D473" s="17"/>
      <c r="E473" s="22"/>
      <c r="F473" s="75"/>
      <c r="G473" s="75"/>
      <c r="H473" s="20"/>
      <c r="I473" s="21"/>
    </row>
    <row r="474" spans="2:9" x14ac:dyDescent="0.3">
      <c r="B474" s="53"/>
      <c r="C474" s="14"/>
      <c r="D474" s="17"/>
      <c r="E474" s="22"/>
      <c r="F474" s="75"/>
      <c r="G474" s="75"/>
      <c r="H474" s="20"/>
      <c r="I474" s="21"/>
    </row>
    <row r="475" spans="2:9" x14ac:dyDescent="0.3">
      <c r="B475" s="53"/>
      <c r="C475" s="14"/>
      <c r="D475" s="17"/>
      <c r="E475" s="22"/>
      <c r="F475" s="75"/>
      <c r="G475" s="75"/>
      <c r="H475" s="20"/>
      <c r="I475" s="21"/>
    </row>
    <row r="476" spans="2:9" x14ac:dyDescent="0.3">
      <c r="B476" s="53"/>
      <c r="C476" s="14"/>
      <c r="D476" s="17"/>
      <c r="E476" s="22"/>
      <c r="F476" s="75"/>
      <c r="G476" s="75"/>
      <c r="H476" s="20"/>
      <c r="I476" s="21"/>
    </row>
    <row r="477" spans="2:9" x14ac:dyDescent="0.3">
      <c r="B477" s="54"/>
      <c r="C477" s="16"/>
      <c r="D477" s="17"/>
      <c r="E477" s="22"/>
      <c r="F477" s="75"/>
      <c r="G477" s="75"/>
      <c r="H477" s="20"/>
      <c r="I477" s="21"/>
    </row>
    <row r="478" spans="2:9" x14ac:dyDescent="0.3">
      <c r="B478" s="53"/>
      <c r="C478" s="14"/>
      <c r="D478" s="17"/>
      <c r="E478" s="22"/>
      <c r="F478" s="75"/>
      <c r="G478" s="75"/>
      <c r="H478" s="20"/>
      <c r="I478" s="21"/>
    </row>
    <row r="479" spans="2:9" x14ac:dyDescent="0.3">
      <c r="B479" s="53"/>
      <c r="C479" s="14"/>
      <c r="D479" s="17"/>
      <c r="E479" s="22"/>
      <c r="F479" s="75"/>
      <c r="G479" s="75"/>
      <c r="H479" s="20"/>
      <c r="I479" s="21"/>
    </row>
    <row r="480" spans="2:9" x14ac:dyDescent="0.3">
      <c r="B480" s="53"/>
      <c r="C480" s="14"/>
      <c r="D480" s="17"/>
      <c r="E480" s="22"/>
      <c r="F480" s="75"/>
      <c r="G480" s="75"/>
      <c r="H480" s="20"/>
      <c r="I480" s="19"/>
    </row>
    <row r="481" spans="2:9" x14ac:dyDescent="0.3">
      <c r="B481" s="53"/>
      <c r="C481" s="14"/>
      <c r="D481" s="17"/>
      <c r="E481" s="22"/>
      <c r="F481" s="75"/>
      <c r="G481" s="75"/>
      <c r="H481" s="20"/>
      <c r="I481" s="21"/>
    </row>
    <row r="482" spans="2:9" x14ac:dyDescent="0.3">
      <c r="B482" s="53"/>
      <c r="C482" s="14"/>
      <c r="D482" s="17"/>
      <c r="E482" s="22"/>
      <c r="F482" s="76"/>
      <c r="G482" s="75"/>
      <c r="H482" s="18"/>
      <c r="I482" s="21"/>
    </row>
    <row r="483" spans="2:9" x14ac:dyDescent="0.3">
      <c r="B483" s="53"/>
      <c r="C483" s="14"/>
      <c r="D483" s="17"/>
      <c r="E483" s="22"/>
      <c r="F483" s="75"/>
      <c r="G483" s="75"/>
      <c r="H483" s="20"/>
      <c r="I483" s="21"/>
    </row>
    <row r="484" spans="2:9" x14ac:dyDescent="0.3">
      <c r="B484" s="55"/>
      <c r="C484" s="83"/>
      <c r="D484" s="17"/>
      <c r="E484" s="22"/>
      <c r="F484" s="75"/>
      <c r="G484" s="75"/>
      <c r="H484" s="20"/>
      <c r="I484" s="21"/>
    </row>
    <row r="485" spans="2:9" x14ac:dyDescent="0.3">
      <c r="B485" s="53"/>
      <c r="C485" s="14"/>
      <c r="D485" s="17"/>
      <c r="E485" s="22"/>
      <c r="F485" s="75"/>
      <c r="G485" s="75"/>
      <c r="H485" s="20"/>
      <c r="I485" s="21"/>
    </row>
    <row r="486" spans="2:9" x14ac:dyDescent="0.3">
      <c r="B486" s="53"/>
      <c r="C486" s="14"/>
      <c r="D486" s="17"/>
      <c r="E486" s="22"/>
      <c r="F486" s="75"/>
      <c r="G486" s="75"/>
      <c r="H486" s="20"/>
      <c r="I486" s="21"/>
    </row>
    <row r="487" spans="2:9" x14ac:dyDescent="0.3">
      <c r="B487" s="53"/>
      <c r="C487" s="14"/>
      <c r="D487" s="17"/>
      <c r="E487" s="22"/>
      <c r="F487" s="75"/>
      <c r="G487" s="75"/>
      <c r="H487" s="20"/>
      <c r="I487" s="21"/>
    </row>
    <row r="488" spans="2:9" x14ac:dyDescent="0.3">
      <c r="B488" s="53"/>
      <c r="C488" s="14"/>
      <c r="D488" s="17"/>
      <c r="E488" s="22"/>
      <c r="F488" s="75"/>
      <c r="G488" s="75"/>
      <c r="H488" s="20"/>
      <c r="I488" s="21"/>
    </row>
    <row r="489" spans="2:9" x14ac:dyDescent="0.3">
      <c r="B489" s="54"/>
      <c r="C489" s="16"/>
      <c r="D489" s="17"/>
      <c r="E489" s="22"/>
      <c r="F489" s="75"/>
      <c r="G489" s="75"/>
      <c r="H489" s="20"/>
      <c r="I489" s="19"/>
    </row>
    <row r="490" spans="2:9" x14ac:dyDescent="0.3">
      <c r="B490" s="53"/>
      <c r="C490" s="14"/>
      <c r="D490" s="17"/>
      <c r="E490" s="22"/>
      <c r="F490" s="75"/>
      <c r="G490" s="75"/>
      <c r="H490" s="20"/>
      <c r="I490" s="21"/>
    </row>
    <row r="491" spans="2:9" x14ac:dyDescent="0.3">
      <c r="B491" s="53"/>
      <c r="C491" s="14"/>
      <c r="D491" s="17"/>
      <c r="E491" s="22"/>
      <c r="F491" s="76"/>
      <c r="G491" s="75"/>
      <c r="H491" s="18"/>
      <c r="I491" s="21"/>
    </row>
    <row r="492" spans="2:9" x14ac:dyDescent="0.3">
      <c r="B492" s="53"/>
      <c r="C492" s="14"/>
      <c r="D492" s="17"/>
      <c r="E492" s="22"/>
      <c r="F492" s="75"/>
      <c r="G492" s="75"/>
      <c r="H492" s="20"/>
      <c r="I492" s="21"/>
    </row>
    <row r="493" spans="2:9" x14ac:dyDescent="0.3">
      <c r="B493" s="53"/>
      <c r="C493" s="14"/>
      <c r="D493" s="17"/>
      <c r="E493" s="22"/>
      <c r="F493" s="75"/>
      <c r="G493" s="75"/>
      <c r="H493" s="20"/>
      <c r="I493" s="21"/>
    </row>
    <row r="494" spans="2:9" x14ac:dyDescent="0.3">
      <c r="B494" s="53"/>
      <c r="C494" s="14"/>
      <c r="D494" s="17"/>
      <c r="E494" s="22"/>
      <c r="F494" s="75"/>
      <c r="G494" s="75"/>
      <c r="H494" s="20"/>
      <c r="I494" s="21"/>
    </row>
    <row r="495" spans="2:9" x14ac:dyDescent="0.3">
      <c r="B495" s="54"/>
      <c r="C495" s="16"/>
      <c r="D495" s="17"/>
      <c r="E495" s="22"/>
      <c r="F495" s="75"/>
      <c r="G495" s="75"/>
      <c r="H495" s="20"/>
      <c r="I495" s="21"/>
    </row>
    <row r="496" spans="2:9" x14ac:dyDescent="0.3">
      <c r="B496" s="53"/>
      <c r="C496" s="14"/>
      <c r="D496" s="17"/>
      <c r="E496" s="22"/>
      <c r="F496" s="75"/>
      <c r="G496" s="75"/>
      <c r="H496" s="20"/>
      <c r="I496" s="21"/>
    </row>
    <row r="497" spans="2:9" x14ac:dyDescent="0.3">
      <c r="B497" s="53"/>
      <c r="C497" s="14"/>
      <c r="D497" s="17"/>
      <c r="E497" s="22"/>
      <c r="F497" s="75"/>
      <c r="G497" s="75"/>
      <c r="H497" s="20"/>
      <c r="I497" s="21"/>
    </row>
    <row r="498" spans="2:9" x14ac:dyDescent="0.3">
      <c r="B498" s="53"/>
      <c r="C498" s="14"/>
      <c r="D498" s="17"/>
      <c r="E498" s="22"/>
      <c r="F498" s="75"/>
      <c r="G498" s="75"/>
      <c r="H498" s="20"/>
      <c r="I498" s="21"/>
    </row>
    <row r="499" spans="2:9" x14ac:dyDescent="0.3">
      <c r="B499" s="53"/>
      <c r="C499" s="14"/>
      <c r="D499" s="17"/>
      <c r="E499" s="22"/>
      <c r="F499" s="75"/>
      <c r="G499" s="75"/>
      <c r="H499" s="20"/>
      <c r="I499" s="21"/>
    </row>
    <row r="500" spans="2:9" x14ac:dyDescent="0.3">
      <c r="B500" s="53"/>
      <c r="C500" s="14"/>
      <c r="D500" s="17"/>
      <c r="E500" s="22"/>
      <c r="F500" s="75"/>
      <c r="G500" s="75"/>
      <c r="H500" s="20"/>
      <c r="I500" s="19"/>
    </row>
    <row r="501" spans="2:9" x14ac:dyDescent="0.3">
      <c r="B501" s="54"/>
      <c r="C501" s="16"/>
      <c r="D501" s="17"/>
      <c r="E501" s="22"/>
      <c r="F501" s="75"/>
      <c r="G501" s="75"/>
      <c r="H501" s="20"/>
      <c r="I501" s="21"/>
    </row>
    <row r="502" spans="2:9" x14ac:dyDescent="0.3">
      <c r="B502" s="53"/>
      <c r="C502" s="14"/>
      <c r="D502" s="17"/>
      <c r="E502" s="22"/>
      <c r="F502" s="76"/>
      <c r="G502" s="75"/>
      <c r="H502" s="18"/>
      <c r="I502" s="21"/>
    </row>
    <row r="503" spans="2:9" x14ac:dyDescent="0.3">
      <c r="B503" s="53"/>
      <c r="C503" s="14"/>
      <c r="D503" s="17"/>
      <c r="E503" s="22"/>
      <c r="F503" s="75"/>
      <c r="G503" s="75"/>
      <c r="H503" s="20"/>
      <c r="I503" s="21"/>
    </row>
    <row r="504" spans="2:9" x14ac:dyDescent="0.3">
      <c r="B504" s="53"/>
      <c r="C504" s="14"/>
      <c r="D504" s="17"/>
      <c r="E504" s="22"/>
      <c r="F504" s="75"/>
      <c r="G504" s="75"/>
      <c r="H504" s="20"/>
      <c r="I504" s="21"/>
    </row>
    <row r="505" spans="2:9" x14ac:dyDescent="0.3">
      <c r="B505" s="54"/>
      <c r="C505" s="16"/>
      <c r="D505" s="17"/>
      <c r="E505" s="22"/>
      <c r="F505" s="75"/>
      <c r="G505" s="75"/>
      <c r="H505" s="20"/>
      <c r="I505" s="21"/>
    </row>
    <row r="506" spans="2:9" x14ac:dyDescent="0.3">
      <c r="B506" s="53"/>
      <c r="C506" s="14"/>
      <c r="D506" s="17"/>
      <c r="E506" s="22"/>
      <c r="F506" s="75"/>
      <c r="G506" s="75"/>
      <c r="H506" s="20"/>
      <c r="I506" s="21"/>
    </row>
    <row r="507" spans="2:9" x14ac:dyDescent="0.3">
      <c r="B507" s="53"/>
      <c r="C507" s="14"/>
      <c r="D507" s="17"/>
      <c r="E507" s="22"/>
      <c r="F507" s="75"/>
      <c r="G507" s="75"/>
      <c r="H507" s="20"/>
      <c r="I507" s="21"/>
    </row>
    <row r="508" spans="2:9" x14ac:dyDescent="0.3">
      <c r="B508" s="53"/>
      <c r="C508" s="14"/>
      <c r="D508" s="17"/>
      <c r="E508" s="22"/>
      <c r="F508" s="75"/>
      <c r="G508" s="75"/>
      <c r="H508" s="20"/>
      <c r="I508" s="21"/>
    </row>
    <row r="509" spans="2:9" x14ac:dyDescent="0.3">
      <c r="B509" s="54"/>
      <c r="C509" s="16"/>
      <c r="D509" s="17"/>
      <c r="E509" s="22"/>
      <c r="F509" s="75"/>
      <c r="G509" s="75"/>
      <c r="H509" s="20"/>
      <c r="I509" s="21"/>
    </row>
    <row r="510" spans="2:9" x14ac:dyDescent="0.3">
      <c r="B510" s="53"/>
      <c r="C510" s="14"/>
      <c r="D510" s="17"/>
      <c r="E510" s="22"/>
      <c r="F510" s="75"/>
      <c r="G510" s="75"/>
      <c r="H510" s="20"/>
      <c r="I510" s="21"/>
    </row>
    <row r="511" spans="2:9" x14ac:dyDescent="0.3">
      <c r="B511" s="53"/>
      <c r="C511" s="14"/>
      <c r="D511" s="17"/>
      <c r="E511" s="22"/>
      <c r="F511" s="75"/>
      <c r="G511" s="75"/>
      <c r="H511" s="20"/>
      <c r="I511" s="21"/>
    </row>
    <row r="512" spans="2:9" x14ac:dyDescent="0.3">
      <c r="B512" s="53"/>
      <c r="C512" s="14"/>
      <c r="D512" s="17"/>
      <c r="E512" s="22"/>
      <c r="F512" s="75"/>
      <c r="G512" s="75"/>
      <c r="H512" s="20"/>
      <c r="I512" s="21"/>
    </row>
    <row r="513" spans="2:9" x14ac:dyDescent="0.3">
      <c r="B513" s="53"/>
      <c r="C513" s="14"/>
      <c r="D513" s="17"/>
      <c r="E513" s="22"/>
      <c r="F513" s="75"/>
      <c r="G513" s="75"/>
      <c r="H513" s="20"/>
      <c r="I513" s="21"/>
    </row>
    <row r="514" spans="2:9" x14ac:dyDescent="0.3">
      <c r="B514" s="53"/>
      <c r="C514" s="14"/>
      <c r="D514" s="17"/>
      <c r="E514" s="22"/>
      <c r="F514" s="75"/>
      <c r="G514" s="75"/>
      <c r="H514" s="20"/>
      <c r="I514" s="21"/>
    </row>
    <row r="515" spans="2:9" x14ac:dyDescent="0.3">
      <c r="B515" s="53"/>
      <c r="C515" s="14"/>
      <c r="D515" s="17"/>
      <c r="E515" s="22"/>
      <c r="F515" s="75"/>
      <c r="G515" s="75"/>
      <c r="H515" s="20"/>
      <c r="I515" s="21"/>
    </row>
    <row r="516" spans="2:9" x14ac:dyDescent="0.3">
      <c r="B516" s="53"/>
      <c r="C516" s="14"/>
      <c r="D516" s="17"/>
      <c r="E516" s="22"/>
      <c r="F516" s="75"/>
      <c r="G516" s="75"/>
      <c r="H516" s="20"/>
      <c r="I516" s="19"/>
    </row>
    <row r="517" spans="2:9" x14ac:dyDescent="0.3">
      <c r="B517" s="53"/>
      <c r="C517" s="14"/>
      <c r="D517" s="17"/>
      <c r="E517" s="22"/>
      <c r="F517" s="75"/>
      <c r="G517" s="75"/>
      <c r="H517" s="20"/>
      <c r="I517" s="21"/>
    </row>
    <row r="518" spans="2:9" x14ac:dyDescent="0.3">
      <c r="B518" s="53"/>
      <c r="C518" s="14"/>
      <c r="D518" s="17"/>
      <c r="E518" s="22"/>
      <c r="F518" s="76"/>
      <c r="G518" s="75"/>
      <c r="H518" s="18"/>
      <c r="I518" s="21"/>
    </row>
    <row r="519" spans="2:9" x14ac:dyDescent="0.3">
      <c r="B519" s="53"/>
      <c r="C519" s="14"/>
      <c r="D519" s="17"/>
      <c r="E519" s="22"/>
      <c r="F519" s="75"/>
      <c r="G519" s="75"/>
      <c r="H519" s="20"/>
      <c r="I519" s="21"/>
    </row>
    <row r="520" spans="2:9" x14ac:dyDescent="0.3">
      <c r="B520" s="54"/>
      <c r="C520" s="16"/>
      <c r="D520" s="17"/>
      <c r="E520" s="22"/>
      <c r="F520" s="75"/>
      <c r="G520" s="75"/>
      <c r="H520" s="20"/>
      <c r="I520" s="21"/>
    </row>
    <row r="521" spans="2:9" x14ac:dyDescent="0.3">
      <c r="B521" s="53"/>
      <c r="C521" s="14"/>
      <c r="D521" s="17"/>
      <c r="E521" s="22"/>
      <c r="F521" s="75"/>
      <c r="G521" s="75"/>
      <c r="H521" s="20"/>
      <c r="I521" s="21"/>
    </row>
    <row r="522" spans="2:9" x14ac:dyDescent="0.3">
      <c r="B522" s="53"/>
      <c r="C522" s="14"/>
      <c r="D522" s="17"/>
      <c r="E522" s="22"/>
      <c r="F522" s="75"/>
      <c r="G522" s="75"/>
      <c r="H522" s="20"/>
      <c r="I522" s="21"/>
    </row>
    <row r="523" spans="2:9" x14ac:dyDescent="0.3">
      <c r="B523" s="53"/>
      <c r="C523" s="14"/>
      <c r="D523" s="17"/>
      <c r="E523" s="22"/>
      <c r="F523" s="75"/>
      <c r="G523" s="75"/>
      <c r="H523" s="20"/>
      <c r="I523" s="21"/>
    </row>
    <row r="524" spans="2:9" x14ac:dyDescent="0.3">
      <c r="B524" s="53"/>
      <c r="C524" s="14"/>
      <c r="D524" s="17"/>
      <c r="E524" s="22"/>
      <c r="F524" s="75"/>
      <c r="G524" s="75"/>
      <c r="H524" s="20"/>
      <c r="I524" s="24"/>
    </row>
    <row r="525" spans="2:9" x14ac:dyDescent="0.3">
      <c r="B525" s="53"/>
      <c r="C525" s="14"/>
      <c r="D525" s="17"/>
      <c r="E525" s="22"/>
      <c r="F525" s="75"/>
      <c r="G525" s="75"/>
      <c r="H525" s="20"/>
      <c r="I525" s="21"/>
    </row>
    <row r="526" spans="2:9" x14ac:dyDescent="0.3">
      <c r="B526" s="53"/>
      <c r="C526" s="14"/>
      <c r="D526" s="17"/>
      <c r="E526" s="22"/>
      <c r="F526" s="77"/>
      <c r="G526" s="78"/>
      <c r="H526" s="23"/>
      <c r="I526" s="21"/>
    </row>
    <row r="527" spans="2:9" x14ac:dyDescent="0.3">
      <c r="B527" s="53"/>
      <c r="C527" s="14"/>
      <c r="D527" s="17"/>
      <c r="E527" s="22"/>
      <c r="F527" s="75"/>
      <c r="G527" s="75"/>
      <c r="H527" s="20"/>
      <c r="I527" s="21"/>
    </row>
    <row r="528" spans="2:9" x14ac:dyDescent="0.3">
      <c r="B528" s="53"/>
      <c r="C528" s="14"/>
      <c r="D528" s="17"/>
      <c r="E528" s="22"/>
      <c r="F528" s="75"/>
      <c r="G528" s="75"/>
      <c r="H528" s="20"/>
      <c r="I528" s="21"/>
    </row>
    <row r="529" spans="2:9" x14ac:dyDescent="0.3">
      <c r="B529" s="53"/>
      <c r="C529" s="14"/>
      <c r="D529" s="17"/>
      <c r="E529" s="22"/>
      <c r="F529" s="75"/>
      <c r="G529" s="75"/>
      <c r="H529" s="20"/>
      <c r="I529" s="21"/>
    </row>
    <row r="530" spans="2:9" x14ac:dyDescent="0.3">
      <c r="B530" s="53"/>
      <c r="C530" s="14"/>
      <c r="D530" s="17"/>
      <c r="E530" s="22"/>
      <c r="F530" s="75"/>
      <c r="G530" s="75"/>
      <c r="H530" s="20"/>
      <c r="I530" s="21"/>
    </row>
    <row r="531" spans="2:9" x14ac:dyDescent="0.3">
      <c r="B531" s="53"/>
      <c r="C531" s="14"/>
      <c r="D531" s="17"/>
      <c r="E531" s="22"/>
      <c r="F531" s="75"/>
      <c r="G531" s="75"/>
      <c r="H531" s="20"/>
      <c r="I531" s="21"/>
    </row>
    <row r="532" spans="2:9" x14ac:dyDescent="0.3">
      <c r="B532" s="53"/>
      <c r="C532" s="14"/>
      <c r="D532" s="17"/>
      <c r="E532" s="22"/>
      <c r="F532" s="75"/>
      <c r="G532" s="75"/>
      <c r="H532" s="20"/>
      <c r="I532" s="21"/>
    </row>
    <row r="533" spans="2:9" x14ac:dyDescent="0.3">
      <c r="B533" s="53"/>
      <c r="C533" s="14"/>
      <c r="D533" s="17"/>
      <c r="E533" s="22"/>
      <c r="F533" s="75"/>
      <c r="G533" s="75"/>
      <c r="H533" s="20"/>
      <c r="I533" s="21"/>
    </row>
    <row r="534" spans="2:9" x14ac:dyDescent="0.3">
      <c r="B534" s="53"/>
      <c r="C534" s="14"/>
      <c r="D534" s="17"/>
      <c r="E534" s="22"/>
      <c r="F534" s="75"/>
      <c r="G534" s="75"/>
      <c r="H534" s="20"/>
      <c r="I534" s="21"/>
    </row>
    <row r="535" spans="2:9" x14ac:dyDescent="0.3">
      <c r="B535" s="53"/>
      <c r="C535" s="14"/>
      <c r="D535" s="17"/>
      <c r="E535" s="22"/>
      <c r="F535" s="75"/>
      <c r="G535" s="75"/>
      <c r="H535" s="20"/>
      <c r="I535" s="21"/>
    </row>
    <row r="536" spans="2:9" x14ac:dyDescent="0.3">
      <c r="B536" s="53"/>
      <c r="C536" s="14"/>
      <c r="D536" s="17"/>
      <c r="E536" s="22"/>
      <c r="F536" s="75"/>
      <c r="G536" s="75"/>
      <c r="H536" s="20"/>
      <c r="I536" s="21"/>
    </row>
    <row r="537" spans="2:9" x14ac:dyDescent="0.3">
      <c r="B537" s="53"/>
      <c r="C537" s="14"/>
      <c r="D537" s="17"/>
      <c r="E537" s="22"/>
      <c r="F537" s="75"/>
      <c r="G537" s="75"/>
      <c r="H537" s="20"/>
      <c r="I537" s="21"/>
    </row>
    <row r="538" spans="2:9" x14ac:dyDescent="0.3">
      <c r="B538" s="53"/>
      <c r="C538" s="14"/>
      <c r="D538" s="17"/>
      <c r="E538" s="22"/>
      <c r="F538" s="75"/>
      <c r="G538" s="75"/>
      <c r="H538" s="20"/>
      <c r="I538" s="21"/>
    </row>
    <row r="539" spans="2:9" x14ac:dyDescent="0.3">
      <c r="B539" s="53"/>
      <c r="C539" s="14"/>
      <c r="D539" s="17"/>
      <c r="E539" s="22"/>
      <c r="F539" s="75"/>
      <c r="G539" s="75"/>
      <c r="H539" s="20"/>
      <c r="I539" s="21"/>
    </row>
    <row r="540" spans="2:9" x14ac:dyDescent="0.3">
      <c r="B540" s="53"/>
      <c r="C540" s="14"/>
      <c r="D540" s="17"/>
      <c r="E540" s="22"/>
      <c r="F540" s="75"/>
      <c r="G540" s="75"/>
      <c r="H540" s="20"/>
      <c r="I540" s="21"/>
    </row>
    <row r="541" spans="2:9" x14ac:dyDescent="0.3">
      <c r="B541" s="53"/>
      <c r="C541" s="14"/>
      <c r="D541" s="17"/>
      <c r="E541" s="22"/>
      <c r="F541" s="75"/>
      <c r="G541" s="75"/>
      <c r="H541" s="20"/>
      <c r="I541" s="21"/>
    </row>
    <row r="542" spans="2:9" x14ac:dyDescent="0.3">
      <c r="B542" s="53"/>
      <c r="C542" s="14"/>
      <c r="D542" s="17"/>
      <c r="E542" s="22"/>
      <c r="F542" s="75"/>
      <c r="G542" s="75"/>
      <c r="H542" s="20"/>
      <c r="I542" s="21"/>
    </row>
    <row r="543" spans="2:9" x14ac:dyDescent="0.3">
      <c r="B543" s="53"/>
      <c r="C543" s="14"/>
      <c r="D543" s="17"/>
      <c r="E543" s="22"/>
      <c r="F543" s="75"/>
      <c r="G543" s="75"/>
      <c r="H543" s="20"/>
      <c r="I543" s="21"/>
    </row>
    <row r="544" spans="2:9" x14ac:dyDescent="0.3">
      <c r="B544" s="53"/>
      <c r="C544" s="14"/>
      <c r="D544" s="17"/>
      <c r="E544" s="22"/>
      <c r="F544" s="75"/>
      <c r="G544" s="75"/>
      <c r="H544" s="20"/>
      <c r="I544" s="21"/>
    </row>
    <row r="545" spans="2:9" x14ac:dyDescent="0.3">
      <c r="B545" s="53"/>
      <c r="C545" s="14"/>
      <c r="D545" s="17"/>
      <c r="E545" s="22"/>
      <c r="F545" s="75"/>
      <c r="G545" s="75"/>
      <c r="H545" s="20"/>
      <c r="I545" s="21"/>
    </row>
    <row r="546" spans="2:9" x14ac:dyDescent="0.3">
      <c r="B546" s="53"/>
      <c r="C546" s="14"/>
      <c r="D546" s="17"/>
      <c r="E546" s="22"/>
      <c r="F546" s="75"/>
      <c r="G546" s="75"/>
      <c r="H546" s="20"/>
      <c r="I546" s="21"/>
    </row>
    <row r="547" spans="2:9" x14ac:dyDescent="0.3">
      <c r="B547" s="53"/>
      <c r="C547" s="14"/>
      <c r="D547" s="17"/>
      <c r="E547" s="22"/>
      <c r="F547" s="75"/>
      <c r="G547" s="75"/>
      <c r="H547" s="20"/>
      <c r="I547" s="24"/>
    </row>
    <row r="548" spans="2:9" x14ac:dyDescent="0.3">
      <c r="B548" s="53"/>
      <c r="C548" s="14"/>
      <c r="D548" s="17"/>
      <c r="E548" s="22"/>
      <c r="F548" s="75"/>
      <c r="G548" s="75"/>
      <c r="H548" s="20"/>
      <c r="I548" s="21"/>
    </row>
    <row r="549" spans="2:9" x14ac:dyDescent="0.3">
      <c r="B549" s="53"/>
      <c r="C549" s="14"/>
      <c r="D549" s="17"/>
      <c r="E549" s="22"/>
      <c r="F549" s="77"/>
      <c r="G549" s="78"/>
      <c r="H549" s="23"/>
      <c r="I549" s="21"/>
    </row>
    <row r="550" spans="2:9" x14ac:dyDescent="0.3">
      <c r="B550" s="53"/>
      <c r="C550" s="14"/>
      <c r="D550" s="17"/>
      <c r="E550" s="22"/>
      <c r="F550" s="75"/>
      <c r="G550" s="75"/>
      <c r="H550" s="20"/>
      <c r="I550" s="19"/>
    </row>
    <row r="551" spans="2:9" x14ac:dyDescent="0.3">
      <c r="B551" s="53"/>
      <c r="C551" s="14"/>
      <c r="D551" s="17"/>
      <c r="E551" s="22"/>
      <c r="F551" s="75"/>
      <c r="G551" s="75"/>
      <c r="H551" s="20"/>
      <c r="I551" s="21"/>
    </row>
    <row r="552" spans="2:9" x14ac:dyDescent="0.3">
      <c r="B552" s="53"/>
      <c r="C552" s="14"/>
      <c r="D552" s="17"/>
      <c r="E552" s="22"/>
      <c r="F552" s="76"/>
      <c r="G552" s="75"/>
      <c r="H552" s="18"/>
      <c r="I552" s="21"/>
    </row>
    <row r="553" spans="2:9" x14ac:dyDescent="0.3">
      <c r="B553" s="53"/>
      <c r="C553" s="14"/>
      <c r="D553" s="17"/>
      <c r="E553" s="22"/>
      <c r="F553" s="75"/>
      <c r="G553" s="75"/>
      <c r="H553" s="20"/>
      <c r="I553" s="21"/>
    </row>
    <row r="554" spans="2:9" x14ac:dyDescent="0.3">
      <c r="B554" s="53"/>
      <c r="C554" s="14"/>
      <c r="D554" s="17"/>
      <c r="E554" s="22"/>
      <c r="F554" s="75"/>
      <c r="G554" s="75"/>
      <c r="H554" s="20"/>
      <c r="I554" s="21"/>
    </row>
    <row r="555" spans="2:9" x14ac:dyDescent="0.3">
      <c r="B555" s="53"/>
      <c r="C555" s="14"/>
      <c r="D555" s="17"/>
      <c r="E555" s="22"/>
      <c r="F555" s="75"/>
      <c r="G555" s="75"/>
      <c r="H555" s="20"/>
      <c r="I555" s="21"/>
    </row>
    <row r="556" spans="2:9" x14ac:dyDescent="0.3">
      <c r="B556" s="53"/>
      <c r="C556" s="14"/>
      <c r="D556" s="17"/>
      <c r="E556" s="22"/>
      <c r="F556" s="75"/>
      <c r="G556" s="75"/>
      <c r="H556" s="20"/>
      <c r="I556" s="21"/>
    </row>
    <row r="557" spans="2:9" x14ac:dyDescent="0.3">
      <c r="B557" s="53"/>
      <c r="C557" s="14"/>
      <c r="D557" s="17"/>
      <c r="E557" s="22"/>
      <c r="F557" s="75"/>
      <c r="G557" s="75"/>
      <c r="H557" s="20"/>
      <c r="I557" s="21"/>
    </row>
    <row r="558" spans="2:9" x14ac:dyDescent="0.3">
      <c r="B558" s="53"/>
      <c r="C558" s="14"/>
      <c r="D558" s="17"/>
      <c r="E558" s="22"/>
      <c r="F558" s="75"/>
      <c r="G558" s="75"/>
      <c r="H558" s="20"/>
      <c r="I558" s="21"/>
    </row>
    <row r="559" spans="2:9" x14ac:dyDescent="0.3">
      <c r="B559" s="53"/>
      <c r="C559" s="14"/>
      <c r="D559" s="17"/>
      <c r="E559" s="22"/>
      <c r="F559" s="75"/>
      <c r="G559" s="75"/>
      <c r="H559" s="20"/>
      <c r="I559" s="21"/>
    </row>
    <row r="560" spans="2:9" x14ac:dyDescent="0.3">
      <c r="B560" s="53"/>
      <c r="C560" s="14"/>
      <c r="D560" s="17"/>
      <c r="E560" s="22"/>
      <c r="F560" s="75"/>
      <c r="G560" s="75"/>
      <c r="H560" s="20"/>
      <c r="I560" s="21"/>
    </row>
    <row r="561" spans="2:9" x14ac:dyDescent="0.3">
      <c r="B561" s="53"/>
      <c r="C561" s="14"/>
      <c r="D561" s="17"/>
      <c r="E561" s="22"/>
      <c r="F561" s="75"/>
      <c r="G561" s="75"/>
      <c r="H561" s="20"/>
      <c r="I561" s="21"/>
    </row>
    <row r="562" spans="2:9" x14ac:dyDescent="0.3">
      <c r="B562" s="53"/>
      <c r="C562" s="14"/>
      <c r="D562" s="17"/>
      <c r="E562" s="22"/>
      <c r="F562" s="75"/>
      <c r="G562" s="75"/>
      <c r="H562" s="20"/>
      <c r="I562" s="21"/>
    </row>
    <row r="563" spans="2:9" x14ac:dyDescent="0.3">
      <c r="B563" s="53"/>
      <c r="C563" s="14"/>
      <c r="D563" s="17"/>
      <c r="E563" s="22"/>
      <c r="F563" s="75"/>
      <c r="G563" s="75"/>
      <c r="H563" s="20"/>
      <c r="I563" s="21"/>
    </row>
    <row r="564" spans="2:9" x14ac:dyDescent="0.3">
      <c r="B564" s="53"/>
      <c r="C564" s="14"/>
      <c r="D564" s="17"/>
      <c r="E564" s="22"/>
      <c r="F564" s="75"/>
      <c r="G564" s="75"/>
      <c r="H564" s="20"/>
      <c r="I564" s="21"/>
    </row>
    <row r="565" spans="2:9" x14ac:dyDescent="0.3">
      <c r="B565" s="53"/>
      <c r="C565" s="14"/>
      <c r="D565" s="17"/>
      <c r="E565" s="22"/>
      <c r="F565" s="75"/>
      <c r="G565" s="75"/>
      <c r="H565" s="20"/>
      <c r="I565" s="21"/>
    </row>
    <row r="566" spans="2:9" x14ac:dyDescent="0.3">
      <c r="B566" s="53"/>
      <c r="C566" s="14"/>
      <c r="D566" s="17"/>
      <c r="E566" s="22"/>
      <c r="F566" s="75"/>
      <c r="G566" s="75"/>
      <c r="H566" s="20"/>
      <c r="I566" s="21"/>
    </row>
    <row r="567" spans="2:9" x14ac:dyDescent="0.3">
      <c r="B567" s="53"/>
      <c r="C567" s="14"/>
      <c r="D567" s="17"/>
      <c r="E567" s="22"/>
      <c r="F567" s="75"/>
      <c r="G567" s="75"/>
      <c r="H567" s="20"/>
      <c r="I567" s="21"/>
    </row>
    <row r="568" spans="2:9" x14ac:dyDescent="0.3">
      <c r="B568" s="53"/>
      <c r="C568" s="14"/>
      <c r="D568" s="17"/>
      <c r="E568" s="22"/>
      <c r="F568" s="75"/>
      <c r="G568" s="75"/>
      <c r="H568" s="20"/>
      <c r="I568" s="21"/>
    </row>
    <row r="569" spans="2:9" x14ac:dyDescent="0.3">
      <c r="B569" s="53"/>
      <c r="C569" s="14"/>
      <c r="D569" s="17"/>
      <c r="E569" s="22"/>
      <c r="F569" s="75"/>
      <c r="G569" s="75"/>
      <c r="H569" s="20"/>
      <c r="I569" s="21"/>
    </row>
    <row r="570" spans="2:9" x14ac:dyDescent="0.3">
      <c r="B570" s="54"/>
      <c r="C570" s="16"/>
      <c r="D570" s="17"/>
      <c r="E570" s="22"/>
      <c r="F570" s="75"/>
      <c r="G570" s="75"/>
      <c r="H570" s="20"/>
      <c r="I570" s="19"/>
    </row>
    <row r="571" spans="2:9" x14ac:dyDescent="0.3">
      <c r="B571" s="53"/>
      <c r="C571" s="14"/>
      <c r="D571" s="17"/>
      <c r="E571" s="22"/>
      <c r="F571" s="75"/>
      <c r="G571" s="75"/>
      <c r="H571" s="20"/>
      <c r="I571" s="21"/>
    </row>
    <row r="572" spans="2:9" x14ac:dyDescent="0.3">
      <c r="B572" s="53"/>
      <c r="C572" s="14"/>
      <c r="D572" s="17"/>
      <c r="E572" s="22"/>
      <c r="F572" s="76"/>
      <c r="G572" s="75"/>
      <c r="H572" s="18"/>
      <c r="I572" s="21"/>
    </row>
    <row r="573" spans="2:9" x14ac:dyDescent="0.3">
      <c r="B573" s="53"/>
      <c r="C573" s="14"/>
      <c r="D573" s="17"/>
      <c r="E573" s="22"/>
      <c r="F573" s="75"/>
      <c r="G573" s="75"/>
      <c r="H573" s="20"/>
      <c r="I573" s="21"/>
    </row>
    <row r="574" spans="2:9" x14ac:dyDescent="0.3">
      <c r="B574" s="53"/>
      <c r="C574" s="14"/>
      <c r="D574" s="17"/>
      <c r="E574" s="22"/>
      <c r="F574" s="75"/>
      <c r="G574" s="75"/>
      <c r="H574" s="20"/>
      <c r="I574" s="21"/>
    </row>
    <row r="575" spans="2:9" x14ac:dyDescent="0.3">
      <c r="B575" s="53"/>
      <c r="C575" s="14"/>
      <c r="D575" s="17"/>
      <c r="E575" s="22"/>
      <c r="F575" s="75"/>
      <c r="G575" s="75"/>
      <c r="H575" s="20"/>
      <c r="I575" s="21"/>
    </row>
    <row r="576" spans="2:9" x14ac:dyDescent="0.3">
      <c r="B576" s="53"/>
      <c r="C576" s="14"/>
      <c r="D576" s="17"/>
      <c r="E576" s="22"/>
      <c r="F576" s="75"/>
      <c r="G576" s="75"/>
      <c r="H576" s="20"/>
      <c r="I576" s="21"/>
    </row>
    <row r="577" spans="2:9" x14ac:dyDescent="0.3">
      <c r="B577" s="53"/>
      <c r="C577" s="14"/>
      <c r="D577" s="17"/>
      <c r="E577" s="22"/>
      <c r="F577" s="75"/>
      <c r="G577" s="75"/>
      <c r="H577" s="20"/>
      <c r="I577" s="21"/>
    </row>
    <row r="578" spans="2:9" x14ac:dyDescent="0.3">
      <c r="B578" s="53"/>
      <c r="C578" s="14"/>
      <c r="D578" s="17"/>
      <c r="E578" s="22"/>
      <c r="F578" s="75"/>
      <c r="G578" s="75"/>
      <c r="H578" s="20"/>
      <c r="I578" s="21"/>
    </row>
    <row r="579" spans="2:9" x14ac:dyDescent="0.3">
      <c r="B579" s="54"/>
      <c r="C579" s="16"/>
      <c r="D579" s="17"/>
      <c r="E579" s="22"/>
      <c r="F579" s="75"/>
      <c r="G579" s="75"/>
      <c r="H579" s="20"/>
      <c r="I579" s="21"/>
    </row>
    <row r="580" spans="2:9" x14ac:dyDescent="0.3">
      <c r="B580" s="53"/>
      <c r="C580" s="14"/>
      <c r="D580" s="17"/>
      <c r="E580" s="22"/>
      <c r="F580" s="75"/>
      <c r="G580" s="75"/>
      <c r="H580" s="20"/>
      <c r="I580" s="21"/>
    </row>
    <row r="581" spans="2:9" x14ac:dyDescent="0.3">
      <c r="B581" s="53"/>
      <c r="C581" s="14"/>
      <c r="D581" s="17"/>
      <c r="E581" s="22"/>
      <c r="F581" s="75"/>
      <c r="G581" s="75"/>
      <c r="H581" s="20"/>
      <c r="I581" s="21"/>
    </row>
    <row r="582" spans="2:9" x14ac:dyDescent="0.3">
      <c r="B582" s="53"/>
      <c r="C582" s="14"/>
      <c r="D582" s="17"/>
      <c r="E582" s="22"/>
      <c r="F582" s="75"/>
      <c r="G582" s="75"/>
      <c r="H582" s="20"/>
      <c r="I582" s="21"/>
    </row>
    <row r="583" spans="2:9" x14ac:dyDescent="0.3">
      <c r="B583" s="53"/>
      <c r="C583" s="14"/>
      <c r="D583" s="17"/>
      <c r="E583" s="22"/>
      <c r="F583" s="75"/>
      <c r="G583" s="75"/>
      <c r="H583" s="20"/>
      <c r="I583" s="21"/>
    </row>
    <row r="584" spans="2:9" x14ac:dyDescent="0.3">
      <c r="B584" s="53"/>
      <c r="C584" s="14"/>
      <c r="D584" s="17"/>
      <c r="E584" s="22"/>
      <c r="F584" s="75"/>
      <c r="G584" s="75"/>
      <c r="H584" s="20"/>
      <c r="I584" s="21"/>
    </row>
    <row r="585" spans="2:9" x14ac:dyDescent="0.3">
      <c r="B585" s="53"/>
      <c r="C585" s="14"/>
      <c r="D585" s="17"/>
      <c r="E585" s="22"/>
      <c r="F585" s="75"/>
      <c r="G585" s="75"/>
      <c r="H585" s="20"/>
      <c r="I585" s="21"/>
    </row>
    <row r="586" spans="2:9" x14ac:dyDescent="0.3">
      <c r="B586" s="53"/>
      <c r="C586" s="14"/>
      <c r="D586" s="17"/>
      <c r="E586" s="22"/>
      <c r="F586" s="75"/>
      <c r="G586" s="75"/>
      <c r="H586" s="20"/>
      <c r="I586" s="21"/>
    </row>
    <row r="587" spans="2:9" x14ac:dyDescent="0.3">
      <c r="B587" s="53"/>
      <c r="C587" s="14"/>
      <c r="D587" s="17"/>
      <c r="E587" s="22"/>
      <c r="F587" s="75"/>
      <c r="G587" s="75"/>
      <c r="H587" s="20"/>
      <c r="I587" s="21"/>
    </row>
    <row r="588" spans="2:9" x14ac:dyDescent="0.3">
      <c r="B588" s="53"/>
      <c r="C588" s="14"/>
      <c r="D588" s="17"/>
      <c r="E588" s="22"/>
      <c r="F588" s="75"/>
      <c r="G588" s="75"/>
      <c r="H588" s="20"/>
      <c r="I588" s="19"/>
    </row>
    <row r="589" spans="2:9" x14ac:dyDescent="0.3">
      <c r="B589" s="53"/>
      <c r="C589" s="14"/>
      <c r="D589" s="17"/>
      <c r="E589" s="22"/>
      <c r="F589" s="75"/>
      <c r="G589" s="75"/>
      <c r="H589" s="20"/>
      <c r="I589" s="21"/>
    </row>
    <row r="590" spans="2:9" x14ac:dyDescent="0.3">
      <c r="B590" s="54"/>
      <c r="C590" s="16"/>
      <c r="D590" s="17"/>
      <c r="E590" s="22"/>
      <c r="F590" s="76"/>
      <c r="G590" s="75"/>
      <c r="H590" s="18"/>
      <c r="I590" s="21"/>
    </row>
    <row r="591" spans="2:9" x14ac:dyDescent="0.3">
      <c r="B591" s="53"/>
      <c r="C591" s="14"/>
      <c r="D591" s="17"/>
      <c r="E591" s="22"/>
      <c r="F591" s="75"/>
      <c r="G591" s="75"/>
      <c r="H591" s="20"/>
      <c r="I591" s="21"/>
    </row>
    <row r="592" spans="2:9" x14ac:dyDescent="0.3">
      <c r="B592" s="53"/>
      <c r="C592" s="14"/>
      <c r="D592" s="17"/>
      <c r="E592" s="22"/>
      <c r="F592" s="75"/>
      <c r="G592" s="75"/>
      <c r="H592" s="20"/>
      <c r="I592" s="21"/>
    </row>
    <row r="593" spans="2:9" x14ac:dyDescent="0.3">
      <c r="B593" s="53"/>
      <c r="C593" s="14"/>
      <c r="D593" s="17"/>
      <c r="E593" s="22"/>
      <c r="F593" s="75"/>
      <c r="G593" s="75"/>
      <c r="H593" s="20"/>
      <c r="I593" s="21"/>
    </row>
    <row r="594" spans="2:9" x14ac:dyDescent="0.3">
      <c r="B594" s="53"/>
      <c r="C594" s="14"/>
      <c r="D594" s="17"/>
      <c r="E594" s="22"/>
      <c r="F594" s="75"/>
      <c r="G594" s="75"/>
      <c r="H594" s="20"/>
      <c r="I594" s="21"/>
    </row>
    <row r="595" spans="2:9" x14ac:dyDescent="0.3">
      <c r="B595" s="53"/>
      <c r="C595" s="14"/>
      <c r="D595" s="17"/>
      <c r="E595" s="22"/>
      <c r="F595" s="75"/>
      <c r="G595" s="75"/>
      <c r="H595" s="20"/>
      <c r="I595" s="21"/>
    </row>
    <row r="596" spans="2:9" x14ac:dyDescent="0.3">
      <c r="B596" s="53"/>
      <c r="C596" s="14"/>
      <c r="D596" s="17"/>
      <c r="E596" s="22"/>
      <c r="F596" s="75"/>
      <c r="G596" s="75"/>
      <c r="H596" s="20"/>
      <c r="I596" s="21"/>
    </row>
    <row r="597" spans="2:9" x14ac:dyDescent="0.3">
      <c r="B597" s="53"/>
      <c r="C597" s="14"/>
      <c r="D597" s="17"/>
      <c r="E597" s="22"/>
      <c r="F597" s="75"/>
      <c r="G597" s="75"/>
      <c r="H597" s="20"/>
      <c r="I597" s="21"/>
    </row>
    <row r="598" spans="2:9" x14ac:dyDescent="0.3">
      <c r="B598" s="53"/>
      <c r="C598" s="14"/>
      <c r="D598" s="17"/>
      <c r="E598" s="22"/>
      <c r="F598" s="75"/>
      <c r="G598" s="75"/>
      <c r="H598" s="20"/>
      <c r="I598" s="21"/>
    </row>
    <row r="599" spans="2:9" x14ac:dyDescent="0.3">
      <c r="B599" s="53"/>
      <c r="C599" s="14"/>
      <c r="D599" s="17"/>
      <c r="E599" s="22"/>
      <c r="F599" s="75"/>
      <c r="G599" s="75"/>
      <c r="H599" s="20"/>
      <c r="I599" s="21"/>
    </row>
    <row r="600" spans="2:9" x14ac:dyDescent="0.3">
      <c r="B600" s="53"/>
      <c r="C600" s="14"/>
      <c r="D600" s="17"/>
      <c r="E600" s="22"/>
      <c r="F600" s="75"/>
      <c r="G600" s="75"/>
      <c r="H600" s="20"/>
      <c r="I600" s="21"/>
    </row>
    <row r="601" spans="2:9" x14ac:dyDescent="0.3">
      <c r="B601" s="53"/>
      <c r="C601" s="14"/>
      <c r="D601" s="17"/>
      <c r="E601" s="22"/>
      <c r="F601" s="75"/>
      <c r="G601" s="75"/>
      <c r="H601" s="20"/>
      <c r="I601" s="19"/>
    </row>
    <row r="602" spans="2:9" x14ac:dyDescent="0.3">
      <c r="B602" s="53"/>
      <c r="C602" s="14"/>
      <c r="D602" s="17"/>
      <c r="E602" s="22"/>
      <c r="F602" s="75"/>
      <c r="G602" s="75"/>
      <c r="H602" s="20"/>
      <c r="I602" s="21"/>
    </row>
    <row r="603" spans="2:9" x14ac:dyDescent="0.3">
      <c r="B603" s="53"/>
      <c r="C603" s="14"/>
      <c r="D603" s="17"/>
      <c r="E603" s="22"/>
      <c r="F603" s="76"/>
      <c r="G603" s="75"/>
      <c r="H603" s="18"/>
      <c r="I603" s="21"/>
    </row>
    <row r="604" spans="2:9" x14ac:dyDescent="0.3">
      <c r="B604" s="53"/>
      <c r="C604" s="14"/>
      <c r="D604" s="17"/>
      <c r="E604" s="22"/>
      <c r="F604" s="75"/>
      <c r="G604" s="75"/>
      <c r="H604" s="20"/>
      <c r="I604" s="21"/>
    </row>
    <row r="605" spans="2:9" x14ac:dyDescent="0.3">
      <c r="B605" s="53"/>
      <c r="C605" s="14"/>
      <c r="D605" s="17"/>
      <c r="E605" s="22"/>
      <c r="F605" s="75"/>
      <c r="G605" s="75"/>
      <c r="H605" s="20"/>
      <c r="I605" s="21"/>
    </row>
    <row r="606" spans="2:9" x14ac:dyDescent="0.3">
      <c r="B606" s="54"/>
      <c r="C606" s="16"/>
      <c r="D606" s="17"/>
      <c r="E606" s="22"/>
      <c r="F606" s="75"/>
      <c r="G606" s="75"/>
      <c r="H606" s="20"/>
      <c r="I606" s="24"/>
    </row>
    <row r="607" spans="2:9" x14ac:dyDescent="0.3">
      <c r="B607" s="53"/>
      <c r="C607" s="14"/>
      <c r="D607" s="17"/>
      <c r="E607" s="22"/>
      <c r="F607" s="75"/>
      <c r="G607" s="75"/>
      <c r="H607" s="20"/>
      <c r="I607" s="21"/>
    </row>
    <row r="608" spans="2:9" x14ac:dyDescent="0.3">
      <c r="B608" s="53"/>
      <c r="C608" s="14"/>
      <c r="D608" s="17"/>
      <c r="E608" s="22"/>
      <c r="F608" s="77"/>
      <c r="G608" s="78"/>
      <c r="H608" s="23"/>
      <c r="I608" s="25"/>
    </row>
    <row r="609" spans="2:9" x14ac:dyDescent="0.3">
      <c r="B609" s="53"/>
      <c r="C609" s="14"/>
      <c r="D609" s="17"/>
      <c r="E609" s="22"/>
      <c r="F609" s="75"/>
      <c r="G609" s="75"/>
      <c r="H609" s="20"/>
      <c r="I609" s="25"/>
    </row>
    <row r="610" spans="2:9" x14ac:dyDescent="0.3">
      <c r="B610" s="53"/>
      <c r="C610" s="14"/>
      <c r="D610" s="17"/>
      <c r="E610" s="22"/>
      <c r="F610" s="75"/>
      <c r="G610" s="75"/>
      <c r="H610" s="20"/>
      <c r="I610" s="25"/>
    </row>
    <row r="611" spans="2:9" x14ac:dyDescent="0.3">
      <c r="B611" s="53"/>
      <c r="C611" s="14"/>
      <c r="D611" s="17"/>
      <c r="E611" s="22"/>
      <c r="F611" s="75"/>
      <c r="G611" s="75"/>
      <c r="H611" s="20"/>
      <c r="I611" s="25"/>
    </row>
    <row r="612" spans="2:9" x14ac:dyDescent="0.3">
      <c r="B612" s="53"/>
      <c r="C612" s="14"/>
      <c r="D612" s="17"/>
      <c r="E612" s="22"/>
      <c r="F612" s="75"/>
      <c r="G612" s="75"/>
      <c r="H612" s="20"/>
      <c r="I612" s="25"/>
    </row>
    <row r="613" spans="2:9" x14ac:dyDescent="0.3">
      <c r="B613" s="53"/>
      <c r="C613" s="14"/>
      <c r="D613" s="17"/>
      <c r="E613" s="22"/>
      <c r="F613" s="75"/>
      <c r="G613" s="75"/>
      <c r="H613" s="20"/>
      <c r="I613" s="25"/>
    </row>
    <row r="614" spans="2:9" x14ac:dyDescent="0.3">
      <c r="B614" s="55"/>
      <c r="C614" s="83"/>
      <c r="D614" s="17"/>
      <c r="E614" s="22"/>
      <c r="F614" s="75"/>
      <c r="G614" s="75"/>
      <c r="H614" s="20"/>
      <c r="I614" s="25"/>
    </row>
    <row r="615" spans="2:9" x14ac:dyDescent="0.3">
      <c r="B615" s="53"/>
      <c r="C615" s="14"/>
      <c r="D615" s="17"/>
      <c r="E615" s="22"/>
      <c r="F615" s="75"/>
      <c r="G615" s="75"/>
      <c r="H615" s="20"/>
      <c r="I615" s="25"/>
    </row>
    <row r="616" spans="2:9" x14ac:dyDescent="0.3">
      <c r="B616" s="53"/>
      <c r="C616" s="14"/>
      <c r="D616" s="17"/>
      <c r="E616" s="22"/>
      <c r="F616" s="75"/>
      <c r="G616" s="75"/>
      <c r="H616" s="20"/>
      <c r="I616" s="25"/>
    </row>
    <row r="617" spans="2:9" x14ac:dyDescent="0.3">
      <c r="B617" s="53"/>
      <c r="C617" s="14"/>
      <c r="D617" s="17"/>
      <c r="E617" s="22"/>
      <c r="F617" s="75"/>
      <c r="G617" s="75"/>
      <c r="H617" s="20"/>
      <c r="I617" s="25"/>
    </row>
    <row r="618" spans="2:9" x14ac:dyDescent="0.3">
      <c r="B618" s="52"/>
      <c r="C618" s="16"/>
      <c r="D618" s="17"/>
      <c r="E618" s="22"/>
      <c r="F618" s="75"/>
      <c r="G618" s="75"/>
      <c r="H618" s="20"/>
      <c r="I618" s="25"/>
    </row>
    <row r="619" spans="2:9" x14ac:dyDescent="0.3">
      <c r="B619" s="53"/>
      <c r="C619" s="14"/>
      <c r="D619" s="17"/>
      <c r="E619" s="22"/>
      <c r="F619" s="75"/>
      <c r="G619" s="75"/>
      <c r="H619" s="20"/>
      <c r="I619" s="25"/>
    </row>
    <row r="620" spans="2:9" x14ac:dyDescent="0.3">
      <c r="B620" s="53"/>
      <c r="C620" s="14"/>
      <c r="D620" s="17"/>
      <c r="E620" s="22"/>
      <c r="F620" s="75"/>
      <c r="G620" s="75"/>
      <c r="H620" s="20"/>
      <c r="I620" s="25"/>
    </row>
    <row r="621" spans="2:9" x14ac:dyDescent="0.3">
      <c r="B621" s="53"/>
      <c r="C621" s="14"/>
      <c r="D621" s="17"/>
      <c r="E621" s="22"/>
      <c r="F621" s="75"/>
      <c r="G621" s="75"/>
      <c r="H621" s="20"/>
      <c r="I621" s="25"/>
    </row>
    <row r="622" spans="2:9" x14ac:dyDescent="0.3">
      <c r="B622" s="53"/>
      <c r="C622" s="14"/>
      <c r="D622" s="17"/>
      <c r="E622" s="22"/>
      <c r="F622" s="75"/>
      <c r="G622" s="75"/>
      <c r="H622" s="20"/>
      <c r="I622" s="25"/>
    </row>
    <row r="623" spans="2:9" x14ac:dyDescent="0.3">
      <c r="B623" s="53"/>
      <c r="C623" s="14"/>
      <c r="D623" s="17"/>
      <c r="E623" s="22"/>
      <c r="F623" s="75"/>
      <c r="G623" s="75"/>
      <c r="H623" s="20"/>
      <c r="I623" s="25"/>
    </row>
    <row r="624" spans="2:9" x14ac:dyDescent="0.3">
      <c r="B624" s="52"/>
      <c r="C624" s="16"/>
      <c r="D624" s="17"/>
      <c r="E624" s="22"/>
      <c r="F624" s="75"/>
      <c r="G624" s="75"/>
      <c r="H624" s="20"/>
      <c r="I624" s="25"/>
    </row>
    <row r="625" spans="2:9" x14ac:dyDescent="0.3">
      <c r="B625" s="53"/>
      <c r="C625" s="14"/>
      <c r="D625" s="17"/>
      <c r="E625" s="22"/>
      <c r="F625" s="75"/>
      <c r="G625" s="75"/>
      <c r="H625" s="20"/>
      <c r="I625" s="25"/>
    </row>
    <row r="626" spans="2:9" x14ac:dyDescent="0.3">
      <c r="B626" s="53"/>
      <c r="C626" s="14"/>
      <c r="D626" s="17"/>
      <c r="E626" s="22"/>
      <c r="F626" s="75"/>
      <c r="G626" s="75"/>
      <c r="H626" s="20"/>
      <c r="I626" s="25"/>
    </row>
    <row r="627" spans="2:9" x14ac:dyDescent="0.3">
      <c r="B627" s="53"/>
      <c r="C627" s="14"/>
      <c r="D627" s="17"/>
      <c r="E627" s="22"/>
      <c r="F627" s="75"/>
      <c r="G627" s="75"/>
      <c r="H627" s="20"/>
      <c r="I627" s="25"/>
    </row>
    <row r="628" spans="2:9" x14ac:dyDescent="0.3">
      <c r="B628" s="53"/>
      <c r="C628" s="14"/>
      <c r="D628" s="17"/>
      <c r="E628" s="22"/>
      <c r="F628" s="75"/>
      <c r="G628" s="75"/>
      <c r="H628" s="20"/>
      <c r="I628" s="25"/>
    </row>
    <row r="629" spans="2:9" x14ac:dyDescent="0.3">
      <c r="B629" s="53"/>
      <c r="C629" s="14"/>
      <c r="D629" s="17"/>
      <c r="E629" s="22"/>
      <c r="F629" s="75"/>
      <c r="G629" s="75"/>
      <c r="H629" s="20"/>
      <c r="I629" s="25"/>
    </row>
    <row r="630" spans="2:9" x14ac:dyDescent="0.3">
      <c r="B630" s="52"/>
      <c r="C630" s="16"/>
      <c r="D630" s="17"/>
      <c r="E630" s="22"/>
      <c r="F630" s="75"/>
      <c r="G630" s="75"/>
      <c r="H630" s="20"/>
      <c r="I630" s="25"/>
    </row>
    <row r="631" spans="2:9" x14ac:dyDescent="0.3">
      <c r="B631" s="53"/>
      <c r="C631" s="14"/>
      <c r="D631" s="17"/>
      <c r="E631" s="22"/>
      <c r="F631" s="75"/>
      <c r="G631" s="75"/>
      <c r="H631" s="20"/>
      <c r="I631" s="25"/>
    </row>
    <row r="632" spans="2:9" x14ac:dyDescent="0.3">
      <c r="B632" s="53"/>
      <c r="C632" s="14"/>
      <c r="D632" s="17"/>
      <c r="E632" s="22"/>
      <c r="F632" s="75"/>
      <c r="G632" s="75"/>
      <c r="H632" s="20"/>
      <c r="I632" s="25"/>
    </row>
    <row r="633" spans="2:9" x14ac:dyDescent="0.3">
      <c r="B633" s="53"/>
      <c r="C633" s="14"/>
      <c r="D633" s="17"/>
      <c r="E633" s="22"/>
      <c r="F633" s="75"/>
      <c r="G633" s="75"/>
      <c r="H633" s="20"/>
      <c r="I633" s="25"/>
    </row>
    <row r="634" spans="2:9" x14ac:dyDescent="0.3">
      <c r="B634" s="53"/>
      <c r="C634" s="14"/>
      <c r="D634" s="17"/>
      <c r="E634" s="22"/>
      <c r="F634" s="75"/>
      <c r="G634" s="75"/>
      <c r="H634" s="20"/>
      <c r="I634" s="25"/>
    </row>
    <row r="635" spans="2:9" x14ac:dyDescent="0.3">
      <c r="B635" s="53"/>
      <c r="C635" s="14"/>
      <c r="D635" s="17"/>
      <c r="E635" s="22"/>
      <c r="F635" s="75"/>
      <c r="G635" s="75"/>
      <c r="H635" s="20"/>
      <c r="I635" s="25"/>
    </row>
    <row r="636" spans="2:9" x14ac:dyDescent="0.3">
      <c r="B636" s="53"/>
      <c r="C636" s="14"/>
      <c r="D636" s="17"/>
      <c r="E636" s="22"/>
      <c r="F636" s="75"/>
      <c r="G636" s="75"/>
      <c r="H636" s="20"/>
      <c r="I636" s="25"/>
    </row>
    <row r="637" spans="2:9" x14ac:dyDescent="0.3">
      <c r="B637" s="55"/>
      <c r="C637" s="83"/>
      <c r="D637" s="17"/>
      <c r="E637" s="22"/>
      <c r="F637" s="75"/>
      <c r="G637" s="75"/>
      <c r="H637" s="20"/>
      <c r="I637" s="25"/>
    </row>
    <row r="638" spans="2:9" x14ac:dyDescent="0.3">
      <c r="B638" s="53"/>
      <c r="C638" s="14"/>
      <c r="D638" s="17"/>
      <c r="E638" s="22"/>
      <c r="F638" s="75"/>
      <c r="G638" s="75"/>
      <c r="H638" s="20"/>
      <c r="I638" s="25"/>
    </row>
    <row r="639" spans="2:9" x14ac:dyDescent="0.3">
      <c r="B639" s="53"/>
      <c r="C639" s="14"/>
      <c r="D639" s="17"/>
      <c r="E639" s="22"/>
      <c r="F639" s="75"/>
      <c r="G639" s="75"/>
      <c r="H639" s="20"/>
      <c r="I639" s="25"/>
    </row>
    <row r="640" spans="2:9" x14ac:dyDescent="0.3">
      <c r="B640" s="54"/>
      <c r="C640" s="16"/>
      <c r="D640" s="17"/>
      <c r="E640" s="22"/>
      <c r="F640" s="75"/>
      <c r="G640" s="75"/>
      <c r="H640" s="20"/>
      <c r="I640" s="25"/>
    </row>
    <row r="641" spans="2:9" x14ac:dyDescent="0.3">
      <c r="B641" s="53"/>
      <c r="C641" s="14"/>
      <c r="D641" s="17"/>
      <c r="E641" s="22"/>
      <c r="F641" s="75"/>
      <c r="G641" s="75"/>
      <c r="H641" s="20"/>
      <c r="I641" s="25"/>
    </row>
    <row r="642" spans="2:9" x14ac:dyDescent="0.3">
      <c r="B642" s="53"/>
      <c r="C642" s="14"/>
      <c r="D642" s="17"/>
      <c r="E642" s="22"/>
      <c r="F642" s="75"/>
      <c r="G642" s="75"/>
      <c r="H642" s="20"/>
      <c r="I642" s="25"/>
    </row>
    <row r="643" spans="2:9" x14ac:dyDescent="0.3">
      <c r="B643" s="53"/>
      <c r="C643" s="14"/>
      <c r="D643" s="17"/>
      <c r="E643" s="22"/>
      <c r="F643" s="75"/>
      <c r="G643" s="75"/>
      <c r="H643" s="20"/>
      <c r="I643" s="25"/>
    </row>
    <row r="644" spans="2:9" x14ac:dyDescent="0.3">
      <c r="B644" s="53"/>
      <c r="C644" s="14"/>
      <c r="D644" s="17"/>
      <c r="E644" s="22"/>
      <c r="F644" s="75"/>
      <c r="G644" s="75"/>
      <c r="H644" s="20"/>
      <c r="I644" s="25"/>
    </row>
    <row r="645" spans="2:9" x14ac:dyDescent="0.3">
      <c r="B645" s="53"/>
      <c r="C645" s="14"/>
      <c r="D645" s="17"/>
      <c r="E645" s="22"/>
      <c r="F645" s="75"/>
      <c r="G645" s="75"/>
      <c r="H645" s="20"/>
      <c r="I645" s="25"/>
    </row>
    <row r="646" spans="2:9" x14ac:dyDescent="0.3">
      <c r="B646" s="53"/>
      <c r="C646" s="14"/>
      <c r="D646" s="17"/>
      <c r="E646" s="22"/>
      <c r="F646" s="75"/>
      <c r="G646" s="75"/>
      <c r="H646" s="20"/>
      <c r="I646" s="25"/>
    </row>
    <row r="647" spans="2:9" x14ac:dyDescent="0.3">
      <c r="B647" s="53"/>
      <c r="C647" s="14"/>
      <c r="D647" s="17"/>
      <c r="E647" s="22"/>
      <c r="F647" s="75"/>
      <c r="G647" s="75"/>
      <c r="H647" s="20"/>
      <c r="I647" s="25"/>
    </row>
    <row r="648" spans="2:9" x14ac:dyDescent="0.3">
      <c r="B648" s="53"/>
      <c r="C648" s="14"/>
      <c r="D648" s="17"/>
      <c r="E648" s="22"/>
      <c r="F648" s="75"/>
      <c r="G648" s="75"/>
      <c r="H648" s="20"/>
      <c r="I648" s="25"/>
    </row>
    <row r="649" spans="2:9" x14ac:dyDescent="0.3">
      <c r="B649" s="53"/>
      <c r="C649" s="14"/>
      <c r="D649" s="17"/>
      <c r="E649" s="22"/>
      <c r="F649" s="75"/>
      <c r="G649" s="75"/>
      <c r="H649" s="20"/>
      <c r="I649" s="25"/>
    </row>
    <row r="650" spans="2:9" x14ac:dyDescent="0.3">
      <c r="B650" s="53"/>
      <c r="C650" s="14"/>
      <c r="D650" s="17"/>
      <c r="E650" s="22"/>
      <c r="F650" s="75"/>
      <c r="G650" s="75"/>
      <c r="H650" s="20"/>
      <c r="I650" s="25"/>
    </row>
    <row r="651" spans="2:9" x14ac:dyDescent="0.3">
      <c r="B651" s="53"/>
      <c r="C651" s="14"/>
      <c r="D651" s="17"/>
      <c r="E651" s="22"/>
      <c r="F651" s="75"/>
      <c r="G651" s="75"/>
      <c r="H651" s="20"/>
      <c r="I651" s="25"/>
    </row>
    <row r="652" spans="2:9" x14ac:dyDescent="0.3">
      <c r="B652" s="53"/>
      <c r="C652" s="14"/>
      <c r="D652" s="17"/>
      <c r="E652" s="22"/>
      <c r="F652" s="75"/>
      <c r="G652" s="75"/>
      <c r="H652" s="20"/>
      <c r="I652" s="25"/>
    </row>
    <row r="653" spans="2:9" x14ac:dyDescent="0.3">
      <c r="B653" s="53"/>
      <c r="C653" s="14"/>
      <c r="D653" s="17"/>
      <c r="E653" s="22"/>
      <c r="F653" s="75"/>
      <c r="G653" s="75"/>
      <c r="H653" s="20"/>
      <c r="I653" s="25"/>
    </row>
    <row r="654" spans="2:9" x14ac:dyDescent="0.3">
      <c r="B654" s="53"/>
      <c r="C654" s="14"/>
      <c r="D654" s="17"/>
      <c r="E654" s="22"/>
      <c r="F654" s="75"/>
      <c r="G654" s="75"/>
      <c r="H654" s="20"/>
      <c r="I654" s="25"/>
    </row>
    <row r="655" spans="2:9" x14ac:dyDescent="0.3">
      <c r="B655" s="53"/>
      <c r="C655" s="14"/>
      <c r="D655" s="17"/>
      <c r="E655" s="22"/>
      <c r="F655" s="75"/>
      <c r="G655" s="75"/>
      <c r="H655" s="20"/>
      <c r="I655" s="25"/>
    </row>
    <row r="656" spans="2:9" x14ac:dyDescent="0.3">
      <c r="B656" s="53"/>
      <c r="C656" s="14"/>
      <c r="D656" s="17"/>
      <c r="E656" s="22"/>
      <c r="F656" s="75"/>
      <c r="G656" s="75"/>
      <c r="H656" s="20"/>
      <c r="I656" s="25"/>
    </row>
    <row r="657" spans="2:9" x14ac:dyDescent="0.3">
      <c r="B657" s="53"/>
      <c r="C657" s="14"/>
      <c r="D657" s="17"/>
      <c r="E657" s="22"/>
      <c r="F657" s="75"/>
      <c r="G657" s="75"/>
      <c r="H657" s="20"/>
      <c r="I657" s="25"/>
    </row>
    <row r="658" spans="2:9" x14ac:dyDescent="0.3">
      <c r="B658" s="53"/>
      <c r="C658" s="14"/>
      <c r="D658" s="17"/>
      <c r="E658" s="22"/>
      <c r="F658" s="75"/>
      <c r="G658" s="75"/>
      <c r="H658" s="20"/>
      <c r="I658" s="25"/>
    </row>
    <row r="659" spans="2:9" x14ac:dyDescent="0.3">
      <c r="B659" s="53"/>
      <c r="C659" s="14"/>
      <c r="D659" s="17"/>
      <c r="E659" s="22"/>
      <c r="F659" s="75"/>
      <c r="G659" s="75"/>
      <c r="H659" s="20"/>
      <c r="I659" s="25"/>
    </row>
    <row r="660" spans="2:9" x14ac:dyDescent="0.3">
      <c r="B660" s="54"/>
      <c r="C660" s="16"/>
      <c r="D660" s="17"/>
      <c r="E660" s="22"/>
      <c r="F660" s="75"/>
      <c r="G660" s="75"/>
      <c r="H660" s="20"/>
      <c r="I660" s="25"/>
    </row>
    <row r="661" spans="2:9" x14ac:dyDescent="0.3">
      <c r="B661" s="53"/>
      <c r="C661" s="14"/>
      <c r="D661" s="17"/>
      <c r="E661" s="22"/>
      <c r="F661" s="75"/>
      <c r="G661" s="75"/>
      <c r="H661" s="20"/>
      <c r="I661" s="25"/>
    </row>
    <row r="662" spans="2:9" x14ac:dyDescent="0.3">
      <c r="B662" s="53"/>
      <c r="C662" s="14"/>
      <c r="D662" s="17"/>
      <c r="E662" s="22"/>
      <c r="F662" s="75"/>
      <c r="G662" s="75"/>
      <c r="H662" s="20"/>
      <c r="I662" s="25"/>
    </row>
    <row r="663" spans="2:9" x14ac:dyDescent="0.3">
      <c r="B663" s="53"/>
      <c r="C663" s="14"/>
      <c r="D663" s="17"/>
      <c r="E663" s="22"/>
      <c r="F663" s="75"/>
      <c r="G663" s="75"/>
      <c r="H663" s="20"/>
      <c r="I663" s="25"/>
    </row>
    <row r="664" spans="2:9" x14ac:dyDescent="0.3">
      <c r="B664" s="53"/>
      <c r="C664" s="14"/>
      <c r="D664" s="17"/>
      <c r="E664" s="22"/>
      <c r="F664" s="75"/>
      <c r="G664" s="75"/>
      <c r="H664" s="20"/>
      <c r="I664" s="25"/>
    </row>
    <row r="665" spans="2:9" x14ac:dyDescent="0.3">
      <c r="B665" s="53"/>
      <c r="C665" s="14"/>
      <c r="D665" s="17"/>
      <c r="E665" s="22"/>
      <c r="F665" s="75"/>
      <c r="G665" s="75"/>
      <c r="H665" s="20"/>
      <c r="I665" s="25"/>
    </row>
    <row r="666" spans="2:9" x14ac:dyDescent="0.3">
      <c r="B666" s="53"/>
      <c r="C666" s="14"/>
      <c r="D666" s="17"/>
      <c r="E666" s="22"/>
      <c r="F666" s="75"/>
      <c r="G666" s="75"/>
      <c r="H666" s="20"/>
      <c r="I666" s="25"/>
    </row>
    <row r="667" spans="2:9" x14ac:dyDescent="0.3">
      <c r="B667" s="53"/>
      <c r="C667" s="14"/>
      <c r="D667" s="17"/>
      <c r="E667" s="22"/>
      <c r="F667" s="75"/>
      <c r="G667" s="75"/>
      <c r="H667" s="20"/>
      <c r="I667" s="25"/>
    </row>
    <row r="668" spans="2:9" x14ac:dyDescent="0.3">
      <c r="B668" s="53"/>
      <c r="C668" s="14"/>
      <c r="D668" s="17"/>
      <c r="E668" s="22"/>
      <c r="F668" s="75"/>
      <c r="G668" s="75"/>
      <c r="H668" s="20"/>
      <c r="I668" s="25"/>
    </row>
    <row r="669" spans="2:9" x14ac:dyDescent="0.3">
      <c r="B669" s="53"/>
      <c r="C669" s="14"/>
      <c r="D669" s="17"/>
      <c r="E669" s="22"/>
      <c r="F669" s="75"/>
      <c r="G669" s="75"/>
      <c r="H669" s="20"/>
      <c r="I669" s="25"/>
    </row>
    <row r="670" spans="2:9" x14ac:dyDescent="0.3">
      <c r="B670" s="53"/>
      <c r="C670" s="14"/>
      <c r="D670" s="17"/>
      <c r="E670" s="22"/>
      <c r="F670" s="75"/>
      <c r="G670" s="75"/>
      <c r="H670" s="20"/>
      <c r="I670" s="25"/>
    </row>
    <row r="671" spans="2:9" x14ac:dyDescent="0.3">
      <c r="B671" s="53"/>
      <c r="C671" s="14"/>
      <c r="D671" s="17"/>
      <c r="E671" s="22"/>
      <c r="F671" s="75"/>
      <c r="G671" s="75"/>
      <c r="H671" s="20"/>
      <c r="I671" s="25"/>
    </row>
    <row r="672" spans="2:9" x14ac:dyDescent="0.3">
      <c r="B672" s="53"/>
      <c r="C672" s="14"/>
      <c r="D672" s="17"/>
      <c r="E672" s="22"/>
      <c r="F672" s="75"/>
      <c r="G672" s="75"/>
      <c r="H672" s="20"/>
      <c r="I672" s="25"/>
    </row>
    <row r="673" spans="2:9" x14ac:dyDescent="0.3">
      <c r="B673" s="53"/>
      <c r="C673" s="14"/>
      <c r="D673" s="17"/>
      <c r="E673" s="22"/>
      <c r="F673" s="75"/>
      <c r="G673" s="75"/>
      <c r="H673" s="20"/>
      <c r="I673" s="25"/>
    </row>
    <row r="674" spans="2:9" x14ac:dyDescent="0.3">
      <c r="B674" s="53"/>
      <c r="C674" s="14"/>
      <c r="D674" s="17"/>
      <c r="E674" s="22"/>
      <c r="F674" s="75"/>
      <c r="G674" s="75"/>
      <c r="H674" s="20"/>
      <c r="I674" s="25"/>
    </row>
    <row r="675" spans="2:9" x14ac:dyDescent="0.3">
      <c r="B675" s="53"/>
      <c r="C675" s="14"/>
      <c r="D675" s="17"/>
      <c r="E675" s="22"/>
      <c r="F675" s="75"/>
      <c r="G675" s="75"/>
      <c r="H675" s="20"/>
      <c r="I675" s="25"/>
    </row>
    <row r="676" spans="2:9" x14ac:dyDescent="0.3">
      <c r="B676" s="53"/>
      <c r="C676" s="14"/>
      <c r="D676" s="17"/>
      <c r="E676" s="22"/>
      <c r="F676" s="75"/>
      <c r="G676" s="75"/>
      <c r="H676" s="20"/>
      <c r="I676" s="21"/>
    </row>
    <row r="677" spans="2:9" x14ac:dyDescent="0.3">
      <c r="B677" s="53"/>
      <c r="C677" s="14"/>
      <c r="D677" s="17"/>
      <c r="E677" s="22"/>
      <c r="F677" s="75"/>
      <c r="G677" s="75"/>
      <c r="H677" s="20"/>
      <c r="I677" s="24"/>
    </row>
    <row r="678" spans="2:9" x14ac:dyDescent="0.3">
      <c r="B678" s="54"/>
      <c r="C678" s="16"/>
      <c r="D678" s="17"/>
      <c r="E678" s="22"/>
      <c r="F678" s="75"/>
      <c r="G678" s="75"/>
      <c r="H678" s="20"/>
      <c r="I678" s="21"/>
    </row>
    <row r="679" spans="2:9" x14ac:dyDescent="0.3">
      <c r="B679" s="53"/>
      <c r="C679" s="14"/>
      <c r="D679" s="17"/>
      <c r="E679" s="22"/>
      <c r="F679" s="77"/>
      <c r="G679" s="78"/>
      <c r="H679" s="23"/>
      <c r="I679" s="21"/>
    </row>
    <row r="680" spans="2:9" x14ac:dyDescent="0.3">
      <c r="B680" s="53"/>
      <c r="C680" s="14"/>
      <c r="D680" s="17"/>
      <c r="E680" s="22"/>
      <c r="F680" s="75"/>
      <c r="G680" s="75"/>
      <c r="H680" s="20"/>
      <c r="I680" s="21"/>
    </row>
    <row r="681" spans="2:9" x14ac:dyDescent="0.3">
      <c r="B681" s="53"/>
      <c r="C681" s="14"/>
      <c r="D681" s="17"/>
      <c r="E681" s="22"/>
      <c r="F681" s="75"/>
      <c r="G681" s="75"/>
      <c r="H681" s="20"/>
      <c r="I681" s="21"/>
    </row>
    <row r="682" spans="2:9" x14ac:dyDescent="0.3">
      <c r="B682" s="53"/>
      <c r="C682" s="14"/>
      <c r="D682" s="17"/>
      <c r="E682" s="22"/>
      <c r="F682" s="75"/>
      <c r="G682" s="75"/>
      <c r="H682" s="20"/>
      <c r="I682" s="21"/>
    </row>
    <row r="683" spans="2:9" x14ac:dyDescent="0.3">
      <c r="B683" s="53"/>
      <c r="C683" s="14"/>
      <c r="D683" s="17"/>
      <c r="E683" s="22"/>
      <c r="F683" s="75"/>
      <c r="G683" s="75"/>
      <c r="H683" s="20"/>
      <c r="I683" s="21"/>
    </row>
    <row r="684" spans="2:9" x14ac:dyDescent="0.3">
      <c r="B684" s="53"/>
      <c r="C684" s="14"/>
      <c r="D684" s="17"/>
      <c r="E684" s="22"/>
      <c r="F684" s="75"/>
      <c r="G684" s="75"/>
      <c r="H684" s="20"/>
      <c r="I684" s="21"/>
    </row>
    <row r="685" spans="2:9" x14ac:dyDescent="0.3">
      <c r="B685" s="53"/>
      <c r="C685" s="14"/>
      <c r="D685" s="17"/>
      <c r="E685" s="22"/>
      <c r="F685" s="75"/>
      <c r="G685" s="75"/>
      <c r="H685" s="20"/>
      <c r="I685" s="21"/>
    </row>
    <row r="686" spans="2:9" x14ac:dyDescent="0.3">
      <c r="B686" s="53"/>
      <c r="C686" s="14"/>
      <c r="D686" s="17"/>
      <c r="E686" s="22"/>
      <c r="F686" s="75"/>
      <c r="G686" s="75"/>
      <c r="H686" s="20"/>
      <c r="I686" s="21"/>
    </row>
    <row r="687" spans="2:9" x14ac:dyDescent="0.3">
      <c r="B687" s="53"/>
      <c r="C687" s="14"/>
      <c r="D687" s="17"/>
      <c r="E687" s="22"/>
      <c r="F687" s="75"/>
      <c r="G687" s="75"/>
      <c r="H687" s="20"/>
      <c r="I687" s="21"/>
    </row>
    <row r="688" spans="2:9" x14ac:dyDescent="0.3">
      <c r="B688" s="53"/>
      <c r="C688" s="14"/>
      <c r="D688" s="17"/>
      <c r="E688" s="22"/>
      <c r="F688" s="75"/>
      <c r="G688" s="75"/>
      <c r="H688" s="20"/>
      <c r="I688" s="21"/>
    </row>
    <row r="689" spans="2:9" x14ac:dyDescent="0.3">
      <c r="B689" s="53"/>
      <c r="C689" s="14"/>
      <c r="D689" s="17"/>
      <c r="E689" s="22"/>
      <c r="F689" s="75"/>
      <c r="G689" s="75"/>
      <c r="H689" s="20"/>
      <c r="I689" s="21"/>
    </row>
    <row r="690" spans="2:9" x14ac:dyDescent="0.3">
      <c r="B690" s="53"/>
      <c r="C690" s="14"/>
      <c r="D690" s="17"/>
      <c r="E690" s="22"/>
      <c r="F690" s="75"/>
      <c r="G690" s="75"/>
      <c r="H690" s="20"/>
      <c r="I690" s="21"/>
    </row>
    <row r="691" spans="2:9" x14ac:dyDescent="0.3">
      <c r="B691" s="54"/>
      <c r="C691" s="16"/>
      <c r="D691" s="17"/>
      <c r="E691" s="22"/>
      <c r="F691" s="75"/>
      <c r="G691" s="75"/>
      <c r="H691" s="20"/>
      <c r="I691" s="21"/>
    </row>
    <row r="692" spans="2:9" x14ac:dyDescent="0.3">
      <c r="B692" s="53"/>
      <c r="C692" s="14"/>
      <c r="D692" s="17"/>
      <c r="E692" s="22"/>
      <c r="F692" s="75"/>
      <c r="G692" s="75"/>
      <c r="H692" s="20"/>
      <c r="I692" s="21"/>
    </row>
    <row r="693" spans="2:9" x14ac:dyDescent="0.3">
      <c r="B693" s="53"/>
      <c r="C693" s="14"/>
      <c r="D693" s="17"/>
      <c r="E693" s="22"/>
      <c r="F693" s="75"/>
      <c r="G693" s="75"/>
      <c r="H693" s="20"/>
      <c r="I693" s="21"/>
    </row>
    <row r="694" spans="2:9" x14ac:dyDescent="0.3">
      <c r="B694" s="53"/>
      <c r="C694" s="14"/>
      <c r="D694" s="17"/>
      <c r="E694" s="22"/>
      <c r="F694" s="75"/>
      <c r="G694" s="75"/>
      <c r="H694" s="20"/>
      <c r="I694" s="21"/>
    </row>
    <row r="695" spans="2:9" x14ac:dyDescent="0.3">
      <c r="B695" s="53"/>
      <c r="C695" s="14"/>
      <c r="D695" s="17"/>
      <c r="E695" s="22"/>
      <c r="F695" s="75"/>
      <c r="G695" s="75"/>
      <c r="H695" s="20"/>
      <c r="I695" s="21"/>
    </row>
    <row r="696" spans="2:9" x14ac:dyDescent="0.3">
      <c r="B696" s="55"/>
      <c r="C696" s="83"/>
      <c r="D696" s="17"/>
      <c r="E696" s="22"/>
      <c r="F696" s="75"/>
      <c r="G696" s="75"/>
      <c r="H696" s="20"/>
      <c r="I696" s="21"/>
    </row>
    <row r="697" spans="2:9" x14ac:dyDescent="0.3">
      <c r="B697" s="52"/>
      <c r="C697" s="16"/>
      <c r="D697" s="17"/>
      <c r="E697" s="22"/>
      <c r="F697" s="75"/>
      <c r="G697" s="75"/>
      <c r="H697" s="20"/>
      <c r="I697" s="21"/>
    </row>
    <row r="698" spans="2:9" x14ac:dyDescent="0.3">
      <c r="B698" s="53"/>
      <c r="C698" s="14"/>
      <c r="D698" s="17"/>
      <c r="E698" s="22"/>
      <c r="F698" s="75"/>
      <c r="G698" s="75"/>
      <c r="H698" s="20"/>
      <c r="I698" s="21"/>
    </row>
    <row r="699" spans="2:9" x14ac:dyDescent="0.3">
      <c r="B699" s="53"/>
      <c r="C699" s="14"/>
      <c r="D699" s="17"/>
      <c r="E699" s="22"/>
      <c r="F699" s="75"/>
      <c r="G699" s="75"/>
      <c r="H699" s="20"/>
      <c r="I699" s="21"/>
    </row>
    <row r="700" spans="2:9" x14ac:dyDescent="0.3">
      <c r="B700" s="53"/>
      <c r="C700" s="14"/>
      <c r="D700" s="17"/>
      <c r="E700" s="22"/>
      <c r="F700" s="75"/>
      <c r="G700" s="75"/>
      <c r="H700" s="20"/>
      <c r="I700" s="21"/>
    </row>
    <row r="701" spans="2:9" x14ac:dyDescent="0.3">
      <c r="B701" s="53"/>
      <c r="C701" s="14"/>
      <c r="D701" s="17"/>
      <c r="E701" s="22"/>
      <c r="F701" s="75"/>
      <c r="G701" s="75"/>
      <c r="H701" s="20"/>
      <c r="I701" s="21"/>
    </row>
    <row r="702" spans="2:9" x14ac:dyDescent="0.3">
      <c r="B702" s="53"/>
      <c r="C702" s="14"/>
      <c r="D702" s="17"/>
      <c r="E702" s="22"/>
      <c r="F702" s="75"/>
      <c r="G702" s="75"/>
      <c r="H702" s="20"/>
      <c r="I702" s="21"/>
    </row>
    <row r="703" spans="2:9" x14ac:dyDescent="0.3">
      <c r="B703" s="53"/>
      <c r="C703" s="14"/>
      <c r="D703" s="17"/>
      <c r="E703" s="22"/>
      <c r="F703" s="75"/>
      <c r="G703" s="75"/>
      <c r="H703" s="20"/>
      <c r="I703" s="21"/>
    </row>
    <row r="704" spans="2:9" x14ac:dyDescent="0.3">
      <c r="B704" s="52"/>
      <c r="C704" s="16"/>
      <c r="D704" s="17"/>
      <c r="E704" s="22"/>
      <c r="F704" s="75"/>
      <c r="G704" s="75"/>
      <c r="H704" s="20"/>
      <c r="I704" s="21"/>
    </row>
    <row r="705" spans="2:9" x14ac:dyDescent="0.3">
      <c r="B705" s="53"/>
      <c r="C705" s="14"/>
      <c r="D705" s="17"/>
      <c r="E705" s="22"/>
      <c r="F705" s="75"/>
      <c r="G705" s="75"/>
      <c r="H705" s="20"/>
      <c r="I705" s="21"/>
    </row>
    <row r="706" spans="2:9" x14ac:dyDescent="0.3">
      <c r="B706" s="53"/>
      <c r="C706" s="14"/>
      <c r="D706" s="17"/>
      <c r="E706" s="22"/>
      <c r="F706" s="75"/>
      <c r="G706" s="75"/>
      <c r="H706" s="20"/>
      <c r="I706" s="21"/>
    </row>
    <row r="707" spans="2:9" x14ac:dyDescent="0.3">
      <c r="B707" s="53"/>
      <c r="C707" s="14"/>
      <c r="D707" s="17"/>
      <c r="E707" s="22"/>
      <c r="F707" s="75"/>
      <c r="G707" s="75"/>
      <c r="H707" s="20"/>
      <c r="I707" s="21"/>
    </row>
    <row r="708" spans="2:9" x14ac:dyDescent="0.3">
      <c r="B708" s="53"/>
      <c r="C708" s="14"/>
      <c r="D708" s="17"/>
      <c r="E708" s="22"/>
      <c r="F708" s="75"/>
      <c r="G708" s="75"/>
      <c r="H708" s="20"/>
      <c r="I708" s="21"/>
    </row>
    <row r="709" spans="2:9" x14ac:dyDescent="0.3">
      <c r="B709" s="53"/>
      <c r="C709" s="14"/>
      <c r="D709" s="17"/>
      <c r="E709" s="22"/>
      <c r="F709" s="75"/>
      <c r="G709" s="75"/>
      <c r="H709" s="20"/>
      <c r="I709" s="21"/>
    </row>
    <row r="710" spans="2:9" x14ac:dyDescent="0.3">
      <c r="B710" s="53"/>
      <c r="C710" s="14"/>
      <c r="D710" s="17"/>
      <c r="E710" s="22"/>
      <c r="F710" s="75"/>
      <c r="G710" s="75"/>
      <c r="H710" s="20"/>
      <c r="I710" s="21"/>
    </row>
    <row r="711" spans="2:9" x14ac:dyDescent="0.3">
      <c r="B711" s="53"/>
      <c r="C711" s="14"/>
      <c r="D711" s="17"/>
      <c r="E711" s="22"/>
      <c r="F711" s="75"/>
      <c r="G711" s="75"/>
      <c r="H711" s="20"/>
      <c r="I711" s="21"/>
    </row>
    <row r="712" spans="2:9" x14ac:dyDescent="0.3">
      <c r="B712" s="53"/>
      <c r="C712" s="14"/>
      <c r="D712" s="17"/>
      <c r="E712" s="22"/>
      <c r="F712" s="75"/>
      <c r="G712" s="75"/>
      <c r="H712" s="20"/>
      <c r="I712" s="21"/>
    </row>
    <row r="713" spans="2:9" x14ac:dyDescent="0.3">
      <c r="B713" s="53"/>
      <c r="C713" s="14"/>
      <c r="D713" s="17"/>
      <c r="E713" s="22"/>
      <c r="F713" s="75"/>
      <c r="G713" s="75"/>
      <c r="H713" s="20"/>
      <c r="I713" s="21"/>
    </row>
    <row r="714" spans="2:9" x14ac:dyDescent="0.3">
      <c r="B714" s="53"/>
      <c r="C714" s="14"/>
      <c r="D714" s="17"/>
      <c r="E714" s="22"/>
      <c r="F714" s="75"/>
      <c r="G714" s="75"/>
      <c r="H714" s="20"/>
      <c r="I714" s="21"/>
    </row>
    <row r="715" spans="2:9" x14ac:dyDescent="0.3">
      <c r="B715" s="53"/>
      <c r="C715" s="14"/>
      <c r="D715" s="17"/>
      <c r="E715" s="22"/>
      <c r="F715" s="75"/>
      <c r="G715" s="75"/>
      <c r="H715" s="20"/>
      <c r="I715" s="21"/>
    </row>
    <row r="716" spans="2:9" x14ac:dyDescent="0.3">
      <c r="B716" s="53"/>
      <c r="C716" s="14"/>
      <c r="D716" s="17"/>
      <c r="E716" s="22"/>
      <c r="F716" s="75"/>
      <c r="G716" s="75"/>
      <c r="H716" s="20"/>
      <c r="I716" s="21"/>
    </row>
    <row r="717" spans="2:9" x14ac:dyDescent="0.3">
      <c r="B717" s="53"/>
      <c r="C717" s="14"/>
      <c r="D717" s="17"/>
      <c r="E717" s="22"/>
      <c r="F717" s="75"/>
      <c r="G717" s="75"/>
      <c r="H717" s="20"/>
      <c r="I717" s="21"/>
    </row>
    <row r="718" spans="2:9" x14ac:dyDescent="0.3">
      <c r="B718" s="53"/>
      <c r="C718" s="14"/>
      <c r="D718" s="17"/>
      <c r="E718" s="22"/>
      <c r="F718" s="75"/>
      <c r="G718" s="75"/>
      <c r="H718" s="20"/>
      <c r="I718" s="21"/>
    </row>
    <row r="719" spans="2:9" x14ac:dyDescent="0.3">
      <c r="B719" s="53"/>
      <c r="C719" s="14"/>
      <c r="D719" s="17"/>
      <c r="E719" s="22"/>
      <c r="F719" s="75"/>
      <c r="G719" s="75"/>
      <c r="H719" s="20"/>
      <c r="I719" s="21"/>
    </row>
    <row r="720" spans="2:9" x14ac:dyDescent="0.3">
      <c r="B720" s="53"/>
      <c r="C720" s="14"/>
      <c r="D720" s="17"/>
      <c r="E720" s="22"/>
      <c r="F720" s="75"/>
      <c r="G720" s="75"/>
      <c r="H720" s="20"/>
      <c r="I720" s="21"/>
    </row>
    <row r="721" spans="2:9" x14ac:dyDescent="0.3">
      <c r="B721" s="53"/>
      <c r="C721" s="14"/>
      <c r="D721" s="17"/>
      <c r="E721" s="22"/>
      <c r="F721" s="75"/>
      <c r="G721" s="75"/>
      <c r="H721" s="20"/>
      <c r="I721" s="21"/>
    </row>
    <row r="722" spans="2:9" x14ac:dyDescent="0.3">
      <c r="B722" s="53"/>
      <c r="C722" s="14"/>
      <c r="D722" s="17"/>
      <c r="E722" s="22"/>
      <c r="F722" s="75"/>
      <c r="G722" s="75"/>
      <c r="H722" s="20"/>
      <c r="I722" s="21"/>
    </row>
    <row r="723" spans="2:9" x14ac:dyDescent="0.3">
      <c r="B723" s="53"/>
      <c r="C723" s="14"/>
      <c r="D723" s="17"/>
      <c r="E723" s="22"/>
      <c r="F723" s="75"/>
      <c r="G723" s="75"/>
      <c r="H723" s="20"/>
      <c r="I723" s="21"/>
    </row>
    <row r="724" spans="2:9" x14ac:dyDescent="0.3">
      <c r="B724" s="53"/>
      <c r="C724" s="14"/>
      <c r="D724" s="17"/>
      <c r="E724" s="22"/>
      <c r="F724" s="75"/>
      <c r="G724" s="75"/>
      <c r="H724" s="20"/>
      <c r="I724" s="21"/>
    </row>
    <row r="725" spans="2:9" x14ac:dyDescent="0.3">
      <c r="B725" s="53"/>
      <c r="C725" s="14"/>
      <c r="D725" s="17"/>
      <c r="E725" s="22"/>
      <c r="F725" s="75"/>
      <c r="G725" s="75"/>
      <c r="H725" s="20"/>
    </row>
    <row r="726" spans="2:9" x14ac:dyDescent="0.3">
      <c r="B726" s="53"/>
      <c r="C726" s="14"/>
      <c r="D726" s="17"/>
      <c r="E726" s="22"/>
      <c r="F726" s="75"/>
      <c r="G726" s="75"/>
      <c r="H726" s="26"/>
    </row>
    <row r="727" spans="2:9" x14ac:dyDescent="0.3">
      <c r="B727" s="53"/>
      <c r="C727" s="14"/>
      <c r="D727" s="17"/>
      <c r="E727" s="22"/>
    </row>
    <row r="728" spans="2:9" x14ac:dyDescent="0.3">
      <c r="B728" s="53"/>
      <c r="C728" s="14"/>
      <c r="D728" s="17"/>
      <c r="E728" s="22"/>
    </row>
    <row r="729" spans="2:9" x14ac:dyDescent="0.3">
      <c r="B729" s="53"/>
      <c r="C729" s="14"/>
      <c r="D729" s="17"/>
      <c r="E729" s="22"/>
    </row>
    <row r="730" spans="2:9" x14ac:dyDescent="0.3">
      <c r="B730" s="53"/>
      <c r="C730" s="14"/>
      <c r="D730" s="17"/>
      <c r="E730" s="22"/>
    </row>
    <row r="731" spans="2:9" x14ac:dyDescent="0.3">
      <c r="B731" s="52"/>
      <c r="C731" s="16"/>
      <c r="D731" s="17"/>
      <c r="E731" s="22"/>
    </row>
    <row r="732" spans="2:9" x14ac:dyDescent="0.3">
      <c r="B732" s="53"/>
      <c r="C732" s="14"/>
      <c r="D732" s="17"/>
      <c r="E732" s="22"/>
    </row>
    <row r="733" spans="2:9" x14ac:dyDescent="0.3">
      <c r="B733" s="53"/>
      <c r="C733" s="14"/>
      <c r="D733" s="17"/>
      <c r="E733" s="22"/>
    </row>
    <row r="734" spans="2:9" x14ac:dyDescent="0.3">
      <c r="B734" s="53"/>
      <c r="C734" s="14"/>
      <c r="D734" s="17"/>
      <c r="E734" s="22"/>
    </row>
    <row r="735" spans="2:9" x14ac:dyDescent="0.3">
      <c r="B735" s="53"/>
      <c r="C735" s="14"/>
      <c r="D735" s="17"/>
      <c r="E735" s="22"/>
    </row>
    <row r="736" spans="2:9" x14ac:dyDescent="0.3">
      <c r="B736" s="53"/>
      <c r="C736" s="14"/>
      <c r="D736" s="17"/>
      <c r="E736" s="22"/>
    </row>
    <row r="737" spans="2:5" x14ac:dyDescent="0.3">
      <c r="B737" s="53"/>
      <c r="C737" s="14"/>
      <c r="D737" s="17"/>
      <c r="E737" s="22"/>
    </row>
    <row r="738" spans="2:5" x14ac:dyDescent="0.3">
      <c r="B738" s="53"/>
      <c r="C738" s="14"/>
      <c r="D738" s="17"/>
      <c r="E738" s="22"/>
    </row>
    <row r="739" spans="2:5" x14ac:dyDescent="0.3">
      <c r="B739" s="53"/>
      <c r="C739" s="14"/>
      <c r="D739" s="17"/>
      <c r="E739" s="22"/>
    </row>
    <row r="740" spans="2:5" x14ac:dyDescent="0.3">
      <c r="B740" s="53"/>
      <c r="C740" s="14"/>
      <c r="D740" s="17"/>
      <c r="E740" s="22"/>
    </row>
    <row r="741" spans="2:5" x14ac:dyDescent="0.3">
      <c r="B741" s="53"/>
      <c r="C741" s="14"/>
      <c r="D741" s="17"/>
      <c r="E741" s="22"/>
    </row>
    <row r="742" spans="2:5" x14ac:dyDescent="0.3">
      <c r="B742" s="53"/>
      <c r="C742" s="14"/>
      <c r="D742" s="17"/>
      <c r="E742" s="22"/>
    </row>
    <row r="743" spans="2:5" x14ac:dyDescent="0.3">
      <c r="B743" s="53"/>
      <c r="C743" s="14"/>
      <c r="D743" s="17"/>
      <c r="E743" s="22"/>
    </row>
    <row r="744" spans="2:5" x14ac:dyDescent="0.3">
      <c r="B744" s="53"/>
      <c r="C744" s="14"/>
      <c r="D744" s="17"/>
      <c r="E744" s="22"/>
    </row>
    <row r="745" spans="2:5" x14ac:dyDescent="0.3">
      <c r="B745" s="53"/>
      <c r="C745" s="14"/>
      <c r="D745" s="17"/>
      <c r="E745" s="22"/>
    </row>
    <row r="746" spans="2:5" x14ac:dyDescent="0.3">
      <c r="B746" s="53"/>
      <c r="C746" s="14"/>
      <c r="D746" s="17"/>
      <c r="E746" s="22"/>
    </row>
    <row r="747" spans="2:5" x14ac:dyDescent="0.3">
      <c r="B747" s="53"/>
      <c r="C747" s="14"/>
      <c r="D747" s="17"/>
      <c r="E747" s="22"/>
    </row>
    <row r="748" spans="2:5" x14ac:dyDescent="0.3">
      <c r="B748" s="53"/>
      <c r="C748" s="14"/>
      <c r="D748" s="17"/>
      <c r="E748" s="22"/>
    </row>
    <row r="749" spans="2:5" x14ac:dyDescent="0.3">
      <c r="B749" s="53"/>
      <c r="C749" s="14"/>
      <c r="D749" s="17"/>
      <c r="E749" s="22"/>
    </row>
    <row r="750" spans="2:5" x14ac:dyDescent="0.3">
      <c r="B750" s="53"/>
      <c r="C750" s="14"/>
      <c r="D750" s="17"/>
      <c r="E750" s="22"/>
    </row>
    <row r="751" spans="2:5" x14ac:dyDescent="0.3">
      <c r="B751" s="53"/>
      <c r="C751" s="14"/>
      <c r="D751" s="17"/>
      <c r="E751" s="22"/>
    </row>
    <row r="752" spans="2:5" x14ac:dyDescent="0.3">
      <c r="B752" s="52"/>
      <c r="C752" s="16"/>
      <c r="D752" s="17"/>
      <c r="E752" s="22"/>
    </row>
    <row r="753" spans="2:5" x14ac:dyDescent="0.3">
      <c r="B753" s="53"/>
      <c r="C753" s="14"/>
      <c r="D753" s="17"/>
      <c r="E753" s="22"/>
    </row>
    <row r="754" spans="2:5" x14ac:dyDescent="0.3">
      <c r="B754" s="53"/>
      <c r="C754" s="14"/>
      <c r="D754" s="17"/>
      <c r="E754" s="22"/>
    </row>
    <row r="755" spans="2:5" x14ac:dyDescent="0.3">
      <c r="B755" s="53"/>
      <c r="C755" s="14"/>
      <c r="D755" s="17"/>
      <c r="E755" s="22"/>
    </row>
    <row r="756" spans="2:5" x14ac:dyDescent="0.3">
      <c r="B756" s="53"/>
      <c r="C756" s="14"/>
      <c r="D756" s="17"/>
      <c r="E756" s="22"/>
    </row>
    <row r="757" spans="2:5" x14ac:dyDescent="0.3">
      <c r="B757" s="53"/>
      <c r="C757" s="14"/>
      <c r="D757" s="17"/>
      <c r="E757" s="22"/>
    </row>
    <row r="758" spans="2:5" x14ac:dyDescent="0.3">
      <c r="B758" s="53"/>
      <c r="C758" s="14"/>
      <c r="D758" s="17"/>
      <c r="E758" s="22"/>
    </row>
    <row r="759" spans="2:5" x14ac:dyDescent="0.3">
      <c r="B759" s="53"/>
      <c r="C759" s="14"/>
      <c r="D759" s="17"/>
      <c r="E759" s="22"/>
    </row>
    <row r="760" spans="2:5" x14ac:dyDescent="0.3">
      <c r="B760" s="53"/>
      <c r="C760" s="14"/>
      <c r="D760" s="17"/>
      <c r="E760" s="22"/>
    </row>
    <row r="761" spans="2:5" x14ac:dyDescent="0.3">
      <c r="B761" s="52"/>
      <c r="C761" s="16"/>
      <c r="D761" s="17"/>
      <c r="E761" s="22"/>
    </row>
    <row r="762" spans="2:5" x14ac:dyDescent="0.3">
      <c r="B762" s="53"/>
      <c r="C762" s="14"/>
      <c r="D762" s="17"/>
      <c r="E762" s="22"/>
    </row>
    <row r="763" spans="2:5" x14ac:dyDescent="0.3">
      <c r="B763" s="53"/>
      <c r="C763" s="14"/>
      <c r="D763" s="17"/>
      <c r="E763" s="22"/>
    </row>
    <row r="764" spans="2:5" x14ac:dyDescent="0.3">
      <c r="B764" s="52"/>
      <c r="C764" s="16"/>
      <c r="D764" s="17"/>
      <c r="E764" s="22"/>
    </row>
    <row r="765" spans="2:5" x14ac:dyDescent="0.3">
      <c r="B765" s="53"/>
      <c r="C765" s="14"/>
      <c r="D765" s="17"/>
      <c r="E765" s="22"/>
    </row>
    <row r="766" spans="2:5" x14ac:dyDescent="0.3">
      <c r="B766" s="53"/>
      <c r="C766" s="14"/>
      <c r="D766" s="17"/>
      <c r="E766" s="22"/>
    </row>
    <row r="767" spans="2:5" x14ac:dyDescent="0.3">
      <c r="B767" s="55"/>
      <c r="C767" s="83"/>
      <c r="D767" s="17"/>
      <c r="E767" s="22"/>
    </row>
    <row r="768" spans="2:5" x14ac:dyDescent="0.3">
      <c r="B768" s="53"/>
      <c r="C768" s="14"/>
      <c r="D768" s="17"/>
      <c r="E768" s="22"/>
    </row>
    <row r="769" spans="2:5" x14ac:dyDescent="0.3">
      <c r="B769" s="53"/>
      <c r="C769" s="14"/>
      <c r="D769" s="17"/>
      <c r="E769" s="22"/>
    </row>
    <row r="770" spans="2:5" x14ac:dyDescent="0.3">
      <c r="B770" s="53"/>
      <c r="C770" s="14"/>
      <c r="D770" s="17"/>
      <c r="E770" s="22"/>
    </row>
    <row r="771" spans="2:5" x14ac:dyDescent="0.3">
      <c r="B771" s="53"/>
      <c r="C771" s="14"/>
      <c r="D771" s="17"/>
      <c r="E771" s="22"/>
    </row>
    <row r="772" spans="2:5" x14ac:dyDescent="0.3">
      <c r="B772" s="52"/>
      <c r="C772" s="16"/>
      <c r="D772" s="17"/>
      <c r="E772" s="22"/>
    </row>
    <row r="773" spans="2:5" x14ac:dyDescent="0.3">
      <c r="B773" s="53"/>
      <c r="C773" s="14"/>
      <c r="D773" s="17"/>
      <c r="E773" s="22"/>
    </row>
    <row r="774" spans="2:5" x14ac:dyDescent="0.3">
      <c r="B774" s="53"/>
      <c r="C774" s="14"/>
      <c r="D774" s="17"/>
      <c r="E774" s="22"/>
    </row>
    <row r="775" spans="2:5" x14ac:dyDescent="0.3">
      <c r="B775" s="53"/>
      <c r="C775" s="14"/>
      <c r="D775" s="17"/>
      <c r="E775" s="22"/>
    </row>
    <row r="776" spans="2:5" x14ac:dyDescent="0.3">
      <c r="B776" s="53"/>
      <c r="C776" s="14"/>
      <c r="D776" s="17"/>
      <c r="E776" s="22"/>
    </row>
    <row r="777" spans="2:5" x14ac:dyDescent="0.3">
      <c r="B777" s="52"/>
      <c r="C777" s="16"/>
      <c r="D777" s="17"/>
      <c r="E777" s="22"/>
    </row>
    <row r="778" spans="2:5" x14ac:dyDescent="0.3">
      <c r="B778" s="53"/>
      <c r="C778" s="14"/>
      <c r="D778" s="17"/>
      <c r="E778" s="22"/>
    </row>
    <row r="779" spans="2:5" x14ac:dyDescent="0.3">
      <c r="B779" s="53"/>
      <c r="C779" s="14"/>
      <c r="D779" s="17"/>
      <c r="E779" s="22"/>
    </row>
    <row r="780" spans="2:5" x14ac:dyDescent="0.3">
      <c r="B780" s="52"/>
      <c r="C780" s="16"/>
      <c r="D780" s="17"/>
      <c r="E780" s="22"/>
    </row>
    <row r="781" spans="2:5" x14ac:dyDescent="0.3">
      <c r="B781" s="53"/>
      <c r="C781" s="14"/>
      <c r="D781" s="17"/>
      <c r="E781" s="22"/>
    </row>
    <row r="782" spans="2:5" x14ac:dyDescent="0.3">
      <c r="B782" s="52"/>
      <c r="C782" s="16"/>
      <c r="D782" s="17"/>
      <c r="E782" s="22"/>
    </row>
    <row r="783" spans="2:5" x14ac:dyDescent="0.3">
      <c r="B783" s="53"/>
      <c r="C783" s="14"/>
      <c r="D783" s="17"/>
      <c r="E783" s="22"/>
    </row>
    <row r="784" spans="2:5" x14ac:dyDescent="0.3">
      <c r="B784" s="52"/>
      <c r="C784" s="16"/>
      <c r="D784" s="17"/>
      <c r="E784" s="22"/>
    </row>
    <row r="785" spans="2:5" x14ac:dyDescent="0.3">
      <c r="B785" s="53"/>
      <c r="C785" s="14"/>
      <c r="D785" s="17"/>
      <c r="E785" s="22"/>
    </row>
    <row r="786" spans="2:5" x14ac:dyDescent="0.3">
      <c r="B786" s="53"/>
      <c r="C786" s="14"/>
      <c r="D786" s="17"/>
      <c r="E786" s="22"/>
    </row>
    <row r="787" spans="2:5" x14ac:dyDescent="0.3">
      <c r="B787" s="52"/>
      <c r="C787" s="16"/>
      <c r="D787" s="17"/>
      <c r="E787" s="22"/>
    </row>
    <row r="788" spans="2:5" x14ac:dyDescent="0.3">
      <c r="B788" s="53"/>
      <c r="C788" s="14"/>
      <c r="D788" s="17"/>
      <c r="E788" s="22"/>
    </row>
    <row r="789" spans="2:5" x14ac:dyDescent="0.3">
      <c r="B789" s="52"/>
      <c r="C789" s="16"/>
      <c r="D789" s="17"/>
      <c r="E789" s="22"/>
    </row>
    <row r="790" spans="2:5" x14ac:dyDescent="0.3">
      <c r="B790" s="53"/>
      <c r="C790" s="14"/>
      <c r="D790" s="17"/>
      <c r="E790" s="22"/>
    </row>
    <row r="791" spans="2:5" x14ac:dyDescent="0.3">
      <c r="B791" s="52"/>
      <c r="C791" s="16"/>
      <c r="D791" s="17"/>
      <c r="E791" s="22"/>
    </row>
    <row r="792" spans="2:5" x14ac:dyDescent="0.3">
      <c r="B792" s="53"/>
      <c r="C792" s="14"/>
      <c r="D792" s="17"/>
      <c r="E792" s="22"/>
    </row>
    <row r="793" spans="2:5" x14ac:dyDescent="0.3">
      <c r="B793" s="53"/>
      <c r="C793" s="14"/>
      <c r="D793" s="17"/>
      <c r="E793" s="22"/>
    </row>
    <row r="794" spans="2:5" x14ac:dyDescent="0.3">
      <c r="B794" s="53"/>
      <c r="C794" s="14"/>
      <c r="D794" s="17"/>
      <c r="E794" s="22"/>
    </row>
    <row r="795" spans="2:5" x14ac:dyDescent="0.3">
      <c r="B795" s="53"/>
      <c r="C795" s="14"/>
      <c r="D795" s="17"/>
      <c r="E795" s="22"/>
    </row>
    <row r="796" spans="2:5" x14ac:dyDescent="0.3">
      <c r="B796" s="53"/>
      <c r="C796" s="14"/>
      <c r="D796" s="17"/>
      <c r="E796" s="22"/>
    </row>
    <row r="797" spans="2:5" x14ac:dyDescent="0.3">
      <c r="B797" s="53"/>
      <c r="C797" s="14"/>
      <c r="D797" s="17"/>
      <c r="E797" s="22"/>
    </row>
    <row r="798" spans="2:5" x14ac:dyDescent="0.3">
      <c r="B798" s="53"/>
      <c r="C798" s="14"/>
      <c r="D798" s="17"/>
      <c r="E798" s="22"/>
    </row>
    <row r="799" spans="2:5" x14ac:dyDescent="0.3">
      <c r="B799" s="53"/>
      <c r="C799" s="14"/>
      <c r="D799" s="17"/>
      <c r="E799" s="22"/>
    </row>
    <row r="800" spans="2:5" x14ac:dyDescent="0.3">
      <c r="B800" s="53"/>
      <c r="C800" s="14"/>
      <c r="D800" s="17"/>
      <c r="E800" s="22"/>
    </row>
    <row r="801" spans="2:5" x14ac:dyDescent="0.3">
      <c r="B801" s="53"/>
      <c r="C801" s="14"/>
      <c r="D801" s="17"/>
      <c r="E801" s="22"/>
    </row>
    <row r="802" spans="2:5" x14ac:dyDescent="0.3">
      <c r="B802" s="53"/>
      <c r="C802" s="14"/>
      <c r="D802" s="17"/>
      <c r="E802" s="22"/>
    </row>
    <row r="803" spans="2:5" x14ac:dyDescent="0.3">
      <c r="B803" s="53"/>
      <c r="C803" s="14"/>
      <c r="D803" s="17"/>
      <c r="E803" s="22"/>
    </row>
    <row r="804" spans="2:5" x14ac:dyDescent="0.3">
      <c r="B804" s="53"/>
      <c r="C804" s="14"/>
      <c r="D804" s="17"/>
      <c r="E804" s="22"/>
    </row>
    <row r="805" spans="2:5" x14ac:dyDescent="0.3">
      <c r="B805" s="52"/>
      <c r="C805" s="16"/>
      <c r="D805" s="17"/>
      <c r="E805" s="22"/>
    </row>
    <row r="806" spans="2:5" x14ac:dyDescent="0.3">
      <c r="B806" s="53"/>
      <c r="C806" s="14"/>
      <c r="D806" s="17"/>
      <c r="E806" s="22"/>
    </row>
    <row r="807" spans="2:5" x14ac:dyDescent="0.3">
      <c r="B807" s="52"/>
      <c r="C807" s="16"/>
      <c r="D807" s="17"/>
      <c r="E807" s="22"/>
    </row>
    <row r="808" spans="2:5" x14ac:dyDescent="0.3">
      <c r="B808" s="53"/>
      <c r="C808" s="14"/>
      <c r="D808" s="17"/>
      <c r="E808" s="22"/>
    </row>
    <row r="809" spans="2:5" x14ac:dyDescent="0.3">
      <c r="B809" s="53"/>
      <c r="C809" s="14"/>
      <c r="D809" s="17"/>
      <c r="E809" s="22"/>
    </row>
    <row r="810" spans="2:5" x14ac:dyDescent="0.3">
      <c r="B810" s="53"/>
      <c r="C810" s="14"/>
      <c r="D810" s="17"/>
      <c r="E810" s="22"/>
    </row>
    <row r="811" spans="2:5" x14ac:dyDescent="0.3">
      <c r="B811" s="53"/>
      <c r="C811" s="14"/>
      <c r="D811" s="17"/>
      <c r="E811" s="22"/>
    </row>
    <row r="812" spans="2:5" x14ac:dyDescent="0.3">
      <c r="B812" s="53"/>
      <c r="C812" s="14"/>
      <c r="D812" s="17"/>
      <c r="E812" s="22"/>
    </row>
    <row r="813" spans="2:5" x14ac:dyDescent="0.3">
      <c r="B813" s="53"/>
      <c r="C813" s="14"/>
      <c r="D813" s="17"/>
      <c r="E813" s="22"/>
    </row>
    <row r="814" spans="2:5" x14ac:dyDescent="0.3">
      <c r="B814" s="53"/>
      <c r="C814" s="14"/>
      <c r="D814" s="17"/>
      <c r="E814" s="22"/>
    </row>
  </sheetData>
  <mergeCells count="11">
    <mergeCell ref="B2:C2"/>
    <mergeCell ref="B3:C3"/>
    <mergeCell ref="I6:I7"/>
    <mergeCell ref="B5:H5"/>
    <mergeCell ref="B6:B7"/>
    <mergeCell ref="C6:C7"/>
    <mergeCell ref="D6:D7"/>
    <mergeCell ref="E6:E7"/>
    <mergeCell ref="F6:F7"/>
    <mergeCell ref="G6:G7"/>
    <mergeCell ref="H6:H7"/>
  </mergeCells>
  <phoneticPr fontId="16" type="noConversion"/>
  <printOptions horizontalCentered="1"/>
  <pageMargins left="0.23622047244094491" right="0.23622047244094491" top="0.15748031496062992" bottom="0.19685039370078741" header="0.31496062992125984" footer="0.31496062992125984"/>
  <pageSetup paperSize="9" scale="45" orientation="portrait" r:id="rId1"/>
  <rowBreaks count="3" manualBreakCount="3">
    <brk id="45" min="1" max="7" man="1"/>
    <brk id="412" min="1" max="13" man="1"/>
    <brk id="526" min="1" max="1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4F877-4ACA-4631-9E1D-9507AF19911E}">
  <sheetPr>
    <tabColor theme="6" tint="0.39997558519241921"/>
  </sheetPr>
  <dimension ref="B1:I762"/>
  <sheetViews>
    <sheetView view="pageBreakPreview" zoomScaleNormal="70" zoomScaleSheetLayoutView="100" workbookViewId="0">
      <pane ySplit="7" topLeftCell="A8" activePane="bottomLeft" state="frozen"/>
      <selection pane="bottomLeft" activeCell="C21" sqref="C21"/>
    </sheetView>
  </sheetViews>
  <sheetFormatPr defaultColWidth="9.109375" defaultRowHeight="13.8" x14ac:dyDescent="0.3"/>
  <cols>
    <col min="1" max="1" width="2" style="8" customWidth="1"/>
    <col min="2" max="2" width="12.109375" style="45" customWidth="1"/>
    <col min="3" max="3" width="77" style="13" customWidth="1"/>
    <col min="4" max="4" width="5.6640625" style="45" customWidth="1"/>
    <col min="5" max="5" width="12.88671875" style="45" customWidth="1"/>
    <col min="6" max="6" width="14.33203125" style="79" customWidth="1"/>
    <col min="7" max="7" width="15.33203125" style="79" customWidth="1"/>
    <col min="8" max="8" width="99.9990145" style="8" customWidth="1"/>
    <col min="9" max="9" width="52" style="13" customWidth="1"/>
    <col min="10" max="16384" width="9.109375" style="8"/>
  </cols>
  <sheetData>
    <row r="1" spans="2:9" ht="20.25" customHeight="1" thickBot="1" x14ac:dyDescent="0.35">
      <c r="B1" s="46"/>
      <c r="C1" s="80"/>
      <c r="D1" s="61"/>
      <c r="E1" s="39"/>
      <c r="F1" s="64"/>
      <c r="G1" s="65"/>
      <c r="H1" s="114"/>
      <c r="I1" s="10"/>
    </row>
    <row r="2" spans="2:9" ht="20.25" customHeight="1" x14ac:dyDescent="0.3">
      <c r="B2" s="120" t="str">
        <f>MQT!B2</f>
        <v>MORADIA - RUA EXEMPLO 5, Nº 31 0000-002, COIMBRA</v>
      </c>
      <c r="C2" s="121"/>
      <c r="D2" s="62"/>
      <c r="E2" s="39"/>
      <c r="F2" s="66"/>
      <c r="G2" s="66"/>
      <c r="H2" s="115"/>
      <c r="I2" s="10"/>
    </row>
    <row r="3" spans="2:9" ht="20.25" customHeight="1" x14ac:dyDescent="0.3">
      <c r="B3" s="122" t="s">
        <v>146</v>
      </c>
      <c r="C3" s="123"/>
      <c r="D3" s="63"/>
      <c r="E3" s="40"/>
      <c r="F3" s="67"/>
      <c r="G3" s="67"/>
      <c r="H3" s="32"/>
      <c r="I3" s="10"/>
    </row>
    <row r="4" spans="2:9" ht="20.25" customHeight="1" thickBot="1" x14ac:dyDescent="0.35">
      <c r="B4" s="47"/>
      <c r="C4" s="81"/>
      <c r="D4" s="63"/>
      <c r="E4" s="40"/>
      <c r="F4" s="68"/>
      <c r="G4" s="69"/>
      <c r="H4" s="33"/>
      <c r="I4" s="10"/>
    </row>
    <row r="5" spans="2:9" ht="14.4" thickBot="1" x14ac:dyDescent="0.35">
      <c r="B5" s="126" t="s">
        <v>1</v>
      </c>
      <c r="C5" s="127"/>
      <c r="D5" s="127"/>
      <c r="E5" s="127"/>
      <c r="F5" s="127"/>
      <c r="G5" s="127"/>
      <c r="H5" s="128"/>
      <c r="I5" s="27"/>
    </row>
    <row r="6" spans="2:9" ht="14.4" thickBot="1" x14ac:dyDescent="0.35">
      <c r="B6" s="129" t="s">
        <v>2</v>
      </c>
      <c r="C6" s="131" t="s">
        <v>3</v>
      </c>
      <c r="D6" s="131" t="s">
        <v>4</v>
      </c>
      <c r="E6" s="133" t="s">
        <v>5</v>
      </c>
      <c r="F6" s="135" t="s">
        <v>6</v>
      </c>
      <c r="G6" s="135" t="s">
        <v>7</v>
      </c>
      <c r="H6" s="137" t="s">
        <v>8</v>
      </c>
      <c r="I6" s="124" t="s">
        <v>9</v>
      </c>
    </row>
    <row r="7" spans="2:9" ht="14.4" thickBot="1" x14ac:dyDescent="0.35">
      <c r="B7" s="130"/>
      <c r="C7" s="132"/>
      <c r="D7" s="132"/>
      <c r="E7" s="134" t="s">
        <v>10</v>
      </c>
      <c r="F7" s="136"/>
      <c r="G7" s="136"/>
      <c r="H7" s="138"/>
      <c r="I7" s="125"/>
    </row>
    <row r="8" spans="2:9" ht="14.4" thickBot="1" x14ac:dyDescent="0.35">
      <c r="B8" s="48"/>
      <c r="C8" s="1"/>
      <c r="D8" s="2"/>
      <c r="E8" s="41"/>
      <c r="F8" s="70"/>
      <c r="G8" s="70"/>
      <c r="H8" s="3"/>
      <c r="I8" s="11"/>
    </row>
    <row r="9" spans="2:9" ht="27.75" customHeight="1" thickBot="1" x14ac:dyDescent="0.35">
      <c r="B9" s="49"/>
      <c r="C9" s="4" t="s">
        <v>11</v>
      </c>
      <c r="D9" s="15"/>
      <c r="E9" s="5"/>
      <c r="F9" s="71"/>
      <c r="G9" s="72"/>
      <c r="H9" s="34"/>
      <c r="I9" s="6"/>
    </row>
    <row r="10" spans="2:9" x14ac:dyDescent="0.3">
      <c r="B10" s="100">
        <v>1</v>
      </c>
      <c r="C10" s="92" t="s">
        <v>105</v>
      </c>
      <c r="D10" s="93" t="s">
        <v>22</v>
      </c>
      <c r="E10" s="94"/>
      <c r="F10" s="95"/>
      <c r="G10" s="96" t="str">
        <f t="shared" ref="G10" si="0">IF(F10&gt;0,ROUND(E10*F10,2),"")</f>
        <v/>
      </c>
      <c r="H10" s="97">
        <f>SUM(G11:G12)</f>
        <v>0</v>
      </c>
      <c r="I10" s="12"/>
    </row>
    <row r="11" spans="2:9" x14ac:dyDescent="0.3">
      <c r="B11" s="100"/>
      <c r="C11" s="82" t="s">
        <v>106</v>
      </c>
      <c r="D11" s="59" t="s">
        <v>94</v>
      </c>
      <c r="E11" s="86">
        <v>1</v>
      </c>
      <c r="F11" s="85"/>
      <c r="G11" s="60">
        <f>E11*F11</f>
        <v>0</v>
      </c>
      <c r="H11" s="103"/>
      <c r="I11" s="12"/>
    </row>
    <row r="12" spans="2:9" x14ac:dyDescent="0.3">
      <c r="B12" s="100"/>
      <c r="C12" s="82"/>
      <c r="D12" s="59"/>
      <c r="E12" s="86"/>
      <c r="F12" s="85"/>
      <c r="G12" s="60"/>
      <c r="H12" s="103"/>
      <c r="I12" s="12"/>
    </row>
    <row r="13" spans="2:9" x14ac:dyDescent="0.3">
      <c r="B13" s="100">
        <v>2</v>
      </c>
      <c r="C13" s="92" t="s">
        <v>107</v>
      </c>
      <c r="D13" s="93" t="s">
        <v>22</v>
      </c>
      <c r="E13" s="94"/>
      <c r="F13" s="95"/>
      <c r="G13" s="96" t="str">
        <f t="shared" ref="G13" si="1">IF(F13&gt;0,ROUND(E13*F13,2),"")</f>
        <v/>
      </c>
      <c r="H13" s="97">
        <f>SUM(G14:G14)</f>
        <v>0</v>
      </c>
      <c r="I13" s="12"/>
    </row>
    <row r="14" spans="2:9" x14ac:dyDescent="0.3">
      <c r="B14" s="100"/>
      <c r="C14" s="82" t="s">
        <v>108</v>
      </c>
      <c r="D14" s="59" t="s">
        <v>94</v>
      </c>
      <c r="E14" s="86">
        <v>1</v>
      </c>
      <c r="F14" s="85"/>
      <c r="G14" s="60">
        <f>E14*F14</f>
        <v>0</v>
      </c>
      <c r="H14" s="103"/>
      <c r="I14" s="12"/>
    </row>
    <row r="15" spans="2:9" x14ac:dyDescent="0.3">
      <c r="B15" s="58"/>
      <c r="C15" s="82"/>
      <c r="D15" s="59"/>
      <c r="E15" s="86"/>
      <c r="F15" s="85"/>
      <c r="G15" s="84"/>
      <c r="H15" s="9"/>
      <c r="I15" s="21"/>
    </row>
    <row r="16" spans="2:9" ht="15" customHeight="1" x14ac:dyDescent="0.3">
      <c r="B16" s="58"/>
      <c r="C16" s="82"/>
      <c r="D16" s="59"/>
      <c r="E16" s="86"/>
      <c r="F16" s="85"/>
      <c r="G16" s="106" t="s">
        <v>109</v>
      </c>
      <c r="H16" s="107">
        <f>SUM(H10:H15)</f>
        <v>0</v>
      </c>
      <c r="I16" s="21"/>
    </row>
    <row r="17" spans="6:9" x14ac:dyDescent="0.3">
      <c r="F17" s="75"/>
      <c r="G17" s="75"/>
      <c r="H17" s="20"/>
      <c r="I17" s="21"/>
    </row>
    <row r="18" spans="6:9" x14ac:dyDescent="0.3">
      <c r="F18" s="75"/>
      <c r="G18" s="75"/>
      <c r="H18" s="20"/>
      <c r="I18" s="21"/>
    </row>
    <row r="19" spans="6:9" x14ac:dyDescent="0.3">
      <c r="F19" s="75"/>
      <c r="G19" s="75"/>
      <c r="H19" s="20"/>
      <c r="I19" s="21"/>
    </row>
    <row r="20" spans="6:9" x14ac:dyDescent="0.3">
      <c r="F20" s="75"/>
      <c r="G20" s="75"/>
      <c r="H20" s="20"/>
      <c r="I20" s="21"/>
    </row>
    <row r="21" spans="6:9" x14ac:dyDescent="0.3">
      <c r="F21" s="75"/>
      <c r="G21" s="75"/>
      <c r="H21" s="20"/>
      <c r="I21" s="21"/>
    </row>
    <row r="22" spans="6:9" x14ac:dyDescent="0.3">
      <c r="F22" s="75"/>
      <c r="G22" s="75"/>
      <c r="H22" s="20"/>
      <c r="I22" s="21"/>
    </row>
    <row r="23" spans="6:9" x14ac:dyDescent="0.3">
      <c r="F23" s="75"/>
      <c r="G23" s="75"/>
      <c r="H23" s="20"/>
      <c r="I23" s="21"/>
    </row>
    <row r="24" spans="6:9" x14ac:dyDescent="0.3">
      <c r="F24" s="75"/>
      <c r="G24" s="75"/>
      <c r="H24" s="20"/>
      <c r="I24" s="21"/>
    </row>
    <row r="25" spans="6:9" x14ac:dyDescent="0.3">
      <c r="F25" s="75"/>
      <c r="G25" s="75"/>
      <c r="H25" s="20"/>
      <c r="I25" s="21"/>
    </row>
    <row r="26" spans="6:9" x14ac:dyDescent="0.3">
      <c r="F26" s="75"/>
      <c r="G26" s="75"/>
      <c r="H26" s="20"/>
      <c r="I26" s="21"/>
    </row>
    <row r="27" spans="6:9" x14ac:dyDescent="0.3">
      <c r="F27" s="75"/>
      <c r="G27" s="75"/>
      <c r="H27" s="20"/>
      <c r="I27" s="21"/>
    </row>
    <row r="28" spans="6:9" x14ac:dyDescent="0.3">
      <c r="F28" s="75"/>
      <c r="G28" s="75"/>
      <c r="H28" s="20"/>
      <c r="I28" s="21"/>
    </row>
    <row r="29" spans="6:9" x14ac:dyDescent="0.3">
      <c r="F29" s="75"/>
      <c r="G29" s="75"/>
      <c r="H29" s="20"/>
      <c r="I29" s="21"/>
    </row>
    <row r="30" spans="6:9" x14ac:dyDescent="0.3">
      <c r="F30" s="75"/>
      <c r="G30" s="75"/>
      <c r="H30" s="20"/>
      <c r="I30" s="21"/>
    </row>
    <row r="31" spans="6:9" x14ac:dyDescent="0.3">
      <c r="F31" s="75"/>
      <c r="G31" s="75"/>
      <c r="H31" s="20"/>
      <c r="I31" s="21"/>
    </row>
    <row r="32" spans="6:9" x14ac:dyDescent="0.3">
      <c r="F32" s="75"/>
      <c r="G32" s="75"/>
      <c r="H32" s="20"/>
      <c r="I32" s="21"/>
    </row>
    <row r="33" spans="2:9" x14ac:dyDescent="0.3">
      <c r="F33" s="75"/>
      <c r="G33" s="75"/>
      <c r="H33" s="20"/>
      <c r="I33" s="21"/>
    </row>
    <row r="34" spans="2:9" x14ac:dyDescent="0.3">
      <c r="F34" s="75"/>
      <c r="G34" s="75"/>
      <c r="H34" s="20"/>
      <c r="I34" s="21"/>
    </row>
    <row r="35" spans="2:9" x14ac:dyDescent="0.3">
      <c r="F35" s="75"/>
      <c r="G35" s="75"/>
      <c r="H35" s="20"/>
      <c r="I35" s="21"/>
    </row>
    <row r="36" spans="2:9" x14ac:dyDescent="0.3">
      <c r="F36" s="75"/>
      <c r="G36" s="75"/>
      <c r="H36" s="20"/>
      <c r="I36" s="21"/>
    </row>
    <row r="37" spans="2:9" x14ac:dyDescent="0.3">
      <c r="F37" s="75"/>
      <c r="G37" s="75"/>
      <c r="H37" s="20"/>
      <c r="I37" s="21"/>
    </row>
    <row r="38" spans="2:9" x14ac:dyDescent="0.3">
      <c r="F38" s="75"/>
      <c r="G38" s="75"/>
      <c r="H38" s="20"/>
      <c r="I38" s="21"/>
    </row>
    <row r="39" spans="2:9" x14ac:dyDescent="0.3">
      <c r="F39" s="75"/>
      <c r="G39" s="75"/>
      <c r="H39" s="20"/>
      <c r="I39" s="12"/>
    </row>
    <row r="40" spans="2:9" x14ac:dyDescent="0.3">
      <c r="F40" s="75"/>
      <c r="G40" s="75"/>
      <c r="H40" s="20"/>
      <c r="I40" s="12"/>
    </row>
    <row r="41" spans="2:9" x14ac:dyDescent="0.3">
      <c r="F41" s="75"/>
      <c r="G41" s="75"/>
      <c r="H41" s="20"/>
      <c r="I41" s="21"/>
    </row>
    <row r="42" spans="2:9" x14ac:dyDescent="0.3">
      <c r="F42" s="75"/>
      <c r="G42" s="75"/>
      <c r="H42" s="20"/>
      <c r="I42" s="21"/>
    </row>
    <row r="43" spans="2:9" x14ac:dyDescent="0.3">
      <c r="F43" s="75"/>
      <c r="G43" s="75"/>
      <c r="H43" s="20"/>
      <c r="I43" s="21"/>
    </row>
    <row r="44" spans="2:9" x14ac:dyDescent="0.3">
      <c r="B44" s="53"/>
      <c r="C44" s="14"/>
      <c r="D44" s="17"/>
      <c r="E44" s="22"/>
      <c r="F44" s="75"/>
      <c r="G44" s="75"/>
      <c r="H44" s="20"/>
      <c r="I44" s="21"/>
    </row>
    <row r="45" spans="2:9" x14ac:dyDescent="0.3">
      <c r="B45" s="53"/>
      <c r="C45" s="14"/>
      <c r="D45" s="17"/>
      <c r="E45" s="22"/>
      <c r="F45" s="75"/>
      <c r="G45" s="75"/>
      <c r="H45" s="20"/>
      <c r="I45" s="21"/>
    </row>
    <row r="46" spans="2:9" x14ac:dyDescent="0.3">
      <c r="B46" s="53"/>
      <c r="C46" s="14"/>
      <c r="D46" s="17"/>
      <c r="E46" s="22"/>
      <c r="F46" s="75"/>
      <c r="G46" s="75"/>
      <c r="H46" s="20"/>
      <c r="I46" s="21"/>
    </row>
    <row r="47" spans="2:9" x14ac:dyDescent="0.3">
      <c r="B47" s="53"/>
      <c r="C47" s="14"/>
      <c r="D47" s="17"/>
      <c r="E47" s="22"/>
      <c r="F47" s="75"/>
      <c r="G47" s="75"/>
      <c r="H47" s="20"/>
      <c r="I47" s="21"/>
    </row>
    <row r="48" spans="2:9" x14ac:dyDescent="0.3">
      <c r="B48" s="53"/>
      <c r="C48" s="14"/>
      <c r="D48" s="17"/>
      <c r="E48" s="22"/>
      <c r="F48" s="77"/>
      <c r="G48" s="78"/>
      <c r="H48" s="23"/>
      <c r="I48" s="24"/>
    </row>
    <row r="49" spans="2:9" x14ac:dyDescent="0.3">
      <c r="B49" s="53"/>
      <c r="C49" s="14"/>
      <c r="D49" s="17"/>
      <c r="E49" s="22"/>
      <c r="F49" s="75"/>
      <c r="G49" s="75"/>
      <c r="H49" s="20"/>
      <c r="I49" s="21"/>
    </row>
    <row r="50" spans="2:9" x14ac:dyDescent="0.3">
      <c r="B50" s="53"/>
      <c r="C50" s="14"/>
      <c r="D50" s="17"/>
      <c r="E50" s="22"/>
      <c r="F50" s="75"/>
      <c r="G50" s="75"/>
      <c r="H50" s="20"/>
      <c r="I50" s="21"/>
    </row>
    <row r="51" spans="2:9" x14ac:dyDescent="0.3">
      <c r="B51" s="53"/>
      <c r="C51" s="14"/>
      <c r="D51" s="17"/>
      <c r="E51" s="22"/>
      <c r="F51" s="76"/>
      <c r="G51" s="75"/>
      <c r="H51" s="18"/>
      <c r="I51" s="19"/>
    </row>
    <row r="52" spans="2:9" x14ac:dyDescent="0.3">
      <c r="B52" s="53"/>
      <c r="C52" s="14"/>
      <c r="D52" s="17"/>
      <c r="E52" s="22"/>
      <c r="F52" s="75"/>
      <c r="G52" s="75"/>
      <c r="H52" s="20"/>
      <c r="I52" s="21"/>
    </row>
    <row r="53" spans="2:9" x14ac:dyDescent="0.3">
      <c r="B53" s="53"/>
      <c r="C53" s="14"/>
      <c r="D53" s="17"/>
      <c r="E53" s="22"/>
      <c r="F53" s="75"/>
      <c r="G53" s="75"/>
      <c r="H53" s="20"/>
      <c r="I53" s="21"/>
    </row>
    <row r="54" spans="2:9" x14ac:dyDescent="0.3">
      <c r="B54" s="52"/>
      <c r="C54" s="16"/>
      <c r="D54" s="17"/>
      <c r="E54" s="22"/>
      <c r="F54" s="75"/>
      <c r="G54" s="75"/>
      <c r="H54" s="20"/>
      <c r="I54" s="21"/>
    </row>
    <row r="55" spans="2:9" x14ac:dyDescent="0.3">
      <c r="B55" s="53"/>
      <c r="C55" s="14"/>
      <c r="D55" s="17"/>
      <c r="E55" s="22"/>
      <c r="F55" s="75"/>
      <c r="G55" s="75"/>
      <c r="H55" s="20"/>
      <c r="I55" s="21"/>
    </row>
    <row r="56" spans="2:9" x14ac:dyDescent="0.3">
      <c r="B56" s="53"/>
      <c r="C56" s="14"/>
      <c r="D56" s="17"/>
      <c r="E56" s="22"/>
      <c r="F56" s="75"/>
      <c r="G56" s="75"/>
      <c r="H56" s="20"/>
      <c r="I56" s="21"/>
    </row>
    <row r="57" spans="2:9" x14ac:dyDescent="0.3">
      <c r="B57" s="53"/>
      <c r="C57" s="14"/>
      <c r="D57" s="17"/>
      <c r="E57" s="22"/>
      <c r="F57" s="75"/>
      <c r="G57" s="75"/>
      <c r="H57" s="20"/>
      <c r="I57" s="21"/>
    </row>
    <row r="58" spans="2:9" x14ac:dyDescent="0.3">
      <c r="B58" s="53"/>
      <c r="C58" s="14"/>
      <c r="D58" s="17"/>
      <c r="E58" s="22"/>
      <c r="F58" s="75"/>
      <c r="G58" s="75"/>
      <c r="H58" s="20"/>
      <c r="I58" s="21"/>
    </row>
    <row r="59" spans="2:9" x14ac:dyDescent="0.3">
      <c r="B59" s="54"/>
      <c r="C59" s="16"/>
      <c r="D59" s="17"/>
      <c r="E59" s="22"/>
      <c r="F59" s="75"/>
      <c r="G59" s="75"/>
      <c r="H59" s="20"/>
      <c r="I59" s="21"/>
    </row>
    <row r="60" spans="2:9" x14ac:dyDescent="0.3">
      <c r="B60" s="52"/>
      <c r="C60" s="16"/>
      <c r="D60" s="17"/>
      <c r="E60" s="22"/>
      <c r="F60" s="75"/>
      <c r="G60" s="75"/>
      <c r="H60" s="20"/>
      <c r="I60" s="21"/>
    </row>
    <row r="61" spans="2:9" x14ac:dyDescent="0.3">
      <c r="B61" s="53"/>
      <c r="C61" s="14"/>
      <c r="D61" s="17"/>
      <c r="E61" s="22"/>
      <c r="F61" s="75"/>
      <c r="G61" s="75"/>
      <c r="H61" s="20"/>
      <c r="I61" s="21"/>
    </row>
    <row r="62" spans="2:9" x14ac:dyDescent="0.3">
      <c r="B62" s="53"/>
      <c r="C62" s="14"/>
      <c r="D62" s="17"/>
      <c r="E62" s="22"/>
      <c r="F62" s="75"/>
      <c r="G62" s="75"/>
      <c r="H62" s="20"/>
      <c r="I62" s="21"/>
    </row>
    <row r="63" spans="2:9" x14ac:dyDescent="0.3">
      <c r="B63" s="53"/>
      <c r="C63" s="14"/>
      <c r="D63" s="17"/>
      <c r="E63" s="22"/>
      <c r="F63" s="75"/>
      <c r="G63" s="75"/>
      <c r="H63" s="20"/>
      <c r="I63" s="21"/>
    </row>
    <row r="64" spans="2:9" x14ac:dyDescent="0.3">
      <c r="B64" s="53"/>
      <c r="C64" s="14"/>
      <c r="D64" s="17"/>
      <c r="E64" s="22"/>
      <c r="F64" s="75"/>
      <c r="G64" s="75"/>
      <c r="H64" s="20"/>
      <c r="I64" s="21"/>
    </row>
    <row r="65" spans="2:9" x14ac:dyDescent="0.3">
      <c r="B65" s="53"/>
      <c r="C65" s="14"/>
      <c r="D65" s="17"/>
      <c r="E65" s="22"/>
      <c r="F65" s="75"/>
      <c r="G65" s="75"/>
      <c r="H65" s="20"/>
      <c r="I65" s="21"/>
    </row>
    <row r="66" spans="2:9" x14ac:dyDescent="0.3">
      <c r="B66" s="53"/>
      <c r="C66" s="14"/>
      <c r="D66" s="17"/>
      <c r="E66" s="22"/>
      <c r="F66" s="75"/>
      <c r="G66" s="75"/>
      <c r="H66" s="20"/>
      <c r="I66" s="21"/>
    </row>
    <row r="67" spans="2:9" x14ac:dyDescent="0.3">
      <c r="B67" s="53"/>
      <c r="C67" s="14"/>
      <c r="D67" s="17"/>
      <c r="E67" s="22"/>
      <c r="F67" s="75"/>
      <c r="G67" s="75"/>
      <c r="H67" s="20"/>
      <c r="I67" s="21"/>
    </row>
    <row r="68" spans="2:9" x14ac:dyDescent="0.3">
      <c r="B68" s="53"/>
      <c r="C68" s="14"/>
      <c r="D68" s="17"/>
      <c r="E68" s="22"/>
      <c r="F68" s="75"/>
      <c r="G68" s="75"/>
      <c r="H68" s="20"/>
      <c r="I68" s="21"/>
    </row>
    <row r="69" spans="2:9" x14ac:dyDescent="0.3">
      <c r="B69" s="53"/>
      <c r="C69" s="14"/>
      <c r="D69" s="17"/>
      <c r="E69" s="22"/>
      <c r="F69" s="75"/>
      <c r="G69" s="75"/>
      <c r="H69" s="20"/>
      <c r="I69" s="21"/>
    </row>
    <row r="70" spans="2:9" x14ac:dyDescent="0.3">
      <c r="B70" s="53"/>
      <c r="C70" s="14"/>
      <c r="D70" s="17"/>
      <c r="E70" s="22"/>
      <c r="F70" s="75"/>
      <c r="G70" s="75"/>
      <c r="H70" s="20"/>
      <c r="I70" s="21"/>
    </row>
    <row r="71" spans="2:9" x14ac:dyDescent="0.3">
      <c r="B71" s="53"/>
      <c r="C71" s="14"/>
      <c r="D71" s="17"/>
      <c r="E71" s="22"/>
      <c r="F71" s="75"/>
      <c r="G71" s="75"/>
      <c r="H71" s="20"/>
      <c r="I71" s="21"/>
    </row>
    <row r="72" spans="2:9" x14ac:dyDescent="0.3">
      <c r="B72" s="53"/>
      <c r="C72" s="14"/>
      <c r="D72" s="17"/>
      <c r="E72" s="22"/>
      <c r="F72" s="75"/>
      <c r="G72" s="75"/>
      <c r="H72" s="20"/>
      <c r="I72" s="21"/>
    </row>
    <row r="73" spans="2:9" x14ac:dyDescent="0.3">
      <c r="B73" s="53"/>
      <c r="C73" s="14"/>
      <c r="D73" s="17"/>
      <c r="E73" s="22"/>
      <c r="F73" s="75"/>
      <c r="G73" s="75"/>
      <c r="H73" s="20"/>
      <c r="I73" s="21"/>
    </row>
    <row r="74" spans="2:9" x14ac:dyDescent="0.3">
      <c r="B74" s="53"/>
      <c r="C74" s="14"/>
      <c r="D74" s="17"/>
      <c r="E74" s="22"/>
      <c r="F74" s="75"/>
      <c r="G74" s="75"/>
      <c r="H74" s="20"/>
      <c r="I74" s="21"/>
    </row>
    <row r="75" spans="2:9" x14ac:dyDescent="0.3">
      <c r="B75" s="53"/>
      <c r="C75" s="14"/>
      <c r="D75" s="17"/>
      <c r="E75" s="22"/>
      <c r="F75" s="75"/>
      <c r="G75" s="75"/>
      <c r="H75" s="20"/>
      <c r="I75" s="21"/>
    </row>
    <row r="76" spans="2:9" x14ac:dyDescent="0.3">
      <c r="B76" s="53"/>
      <c r="C76" s="14"/>
      <c r="D76" s="17"/>
      <c r="E76" s="22"/>
      <c r="F76" s="75"/>
      <c r="G76" s="75"/>
      <c r="H76" s="20"/>
      <c r="I76" s="21"/>
    </row>
    <row r="77" spans="2:9" x14ac:dyDescent="0.3">
      <c r="B77" s="53"/>
      <c r="C77" s="14"/>
      <c r="D77" s="17"/>
      <c r="E77" s="22"/>
      <c r="F77" s="75"/>
      <c r="G77" s="75"/>
      <c r="H77" s="20"/>
      <c r="I77" s="21"/>
    </row>
    <row r="78" spans="2:9" x14ac:dyDescent="0.3">
      <c r="B78" s="53"/>
      <c r="C78" s="14"/>
      <c r="D78" s="17"/>
      <c r="E78" s="22"/>
      <c r="F78" s="75"/>
      <c r="G78" s="75"/>
      <c r="H78" s="20"/>
      <c r="I78" s="21"/>
    </row>
    <row r="79" spans="2:9" x14ac:dyDescent="0.3">
      <c r="B79" s="53"/>
      <c r="C79" s="14"/>
      <c r="D79" s="17"/>
      <c r="E79" s="22"/>
      <c r="F79" s="75"/>
      <c r="G79" s="75"/>
      <c r="H79" s="20"/>
      <c r="I79" s="21"/>
    </row>
    <row r="80" spans="2:9" x14ac:dyDescent="0.3">
      <c r="B80" s="53"/>
      <c r="C80" s="14"/>
      <c r="D80" s="17"/>
      <c r="E80" s="22"/>
      <c r="F80" s="75"/>
      <c r="G80" s="75"/>
      <c r="H80" s="20"/>
      <c r="I80" s="21"/>
    </row>
    <row r="81" spans="2:9" x14ac:dyDescent="0.3">
      <c r="B81" s="53"/>
      <c r="C81" s="14"/>
      <c r="D81" s="17"/>
      <c r="E81" s="22"/>
      <c r="F81" s="75"/>
      <c r="G81" s="75"/>
      <c r="H81" s="20"/>
      <c r="I81" s="21"/>
    </row>
    <row r="82" spans="2:9" x14ac:dyDescent="0.3">
      <c r="B82" s="53"/>
      <c r="C82" s="14"/>
      <c r="D82" s="17"/>
      <c r="E82" s="22"/>
      <c r="F82" s="75"/>
      <c r="G82" s="75"/>
      <c r="H82" s="20"/>
      <c r="I82" s="21"/>
    </row>
    <row r="83" spans="2:9" x14ac:dyDescent="0.3">
      <c r="B83" s="53"/>
      <c r="C83" s="14"/>
      <c r="D83" s="17"/>
      <c r="E83" s="22"/>
      <c r="F83" s="75"/>
      <c r="G83" s="75"/>
      <c r="H83" s="20"/>
      <c r="I83" s="21"/>
    </row>
    <row r="84" spans="2:9" x14ac:dyDescent="0.3">
      <c r="B84" s="53"/>
      <c r="C84" s="14"/>
      <c r="D84" s="17"/>
      <c r="E84" s="22"/>
      <c r="F84" s="75"/>
      <c r="G84" s="75"/>
      <c r="H84" s="20"/>
      <c r="I84" s="21"/>
    </row>
    <row r="85" spans="2:9" x14ac:dyDescent="0.3">
      <c r="B85" s="53"/>
      <c r="C85" s="14"/>
      <c r="D85" s="17"/>
      <c r="E85" s="22"/>
      <c r="F85" s="75"/>
      <c r="G85" s="75"/>
      <c r="H85" s="20"/>
      <c r="I85" s="21"/>
    </row>
    <row r="86" spans="2:9" x14ac:dyDescent="0.3">
      <c r="B86" s="53"/>
      <c r="C86" s="14"/>
      <c r="D86" s="17"/>
      <c r="E86" s="22"/>
      <c r="F86" s="75"/>
      <c r="G86" s="75"/>
      <c r="H86" s="20"/>
      <c r="I86" s="21"/>
    </row>
    <row r="87" spans="2:9" x14ac:dyDescent="0.3">
      <c r="B87" s="53"/>
      <c r="C87" s="14"/>
      <c r="D87" s="17"/>
      <c r="E87" s="22"/>
      <c r="F87" s="75"/>
      <c r="G87" s="75"/>
      <c r="H87" s="20"/>
      <c r="I87" s="21"/>
    </row>
    <row r="88" spans="2:9" x14ac:dyDescent="0.3">
      <c r="B88" s="53"/>
      <c r="C88" s="14"/>
      <c r="D88" s="17"/>
      <c r="E88" s="22"/>
      <c r="F88" s="75"/>
      <c r="G88" s="75"/>
      <c r="H88" s="20"/>
      <c r="I88" s="21"/>
    </row>
    <row r="89" spans="2:9" x14ac:dyDescent="0.3">
      <c r="B89" s="53"/>
      <c r="C89" s="14"/>
      <c r="D89" s="17"/>
      <c r="E89" s="22"/>
      <c r="F89" s="75"/>
      <c r="G89" s="75"/>
      <c r="H89" s="20"/>
      <c r="I89" s="21"/>
    </row>
    <row r="90" spans="2:9" x14ac:dyDescent="0.3">
      <c r="B90" s="53"/>
      <c r="C90" s="14"/>
      <c r="D90" s="17"/>
      <c r="E90" s="22"/>
      <c r="F90" s="75"/>
      <c r="G90" s="75"/>
      <c r="H90" s="20"/>
      <c r="I90" s="21"/>
    </row>
    <row r="91" spans="2:9" x14ac:dyDescent="0.3">
      <c r="B91" s="53"/>
      <c r="C91" s="14"/>
      <c r="D91" s="17"/>
      <c r="E91" s="22"/>
      <c r="F91" s="75"/>
      <c r="G91" s="75"/>
      <c r="H91" s="20"/>
      <c r="I91" s="21"/>
    </row>
    <row r="92" spans="2:9" x14ac:dyDescent="0.3">
      <c r="B92" s="53"/>
      <c r="C92" s="14"/>
      <c r="D92" s="17"/>
      <c r="E92" s="22"/>
      <c r="F92" s="75"/>
      <c r="G92" s="75"/>
      <c r="H92" s="20"/>
      <c r="I92" s="21"/>
    </row>
    <row r="93" spans="2:9" x14ac:dyDescent="0.3">
      <c r="B93" s="53"/>
      <c r="C93" s="14"/>
      <c r="D93" s="17"/>
      <c r="E93" s="22"/>
      <c r="F93" s="75"/>
      <c r="G93" s="75"/>
      <c r="H93" s="20"/>
      <c r="I93" s="21"/>
    </row>
    <row r="94" spans="2:9" x14ac:dyDescent="0.3">
      <c r="B94" s="53"/>
      <c r="C94" s="14"/>
      <c r="D94" s="17"/>
      <c r="E94" s="22"/>
      <c r="F94" s="75"/>
      <c r="G94" s="75"/>
      <c r="H94" s="20"/>
      <c r="I94" s="21"/>
    </row>
    <row r="95" spans="2:9" x14ac:dyDescent="0.3">
      <c r="B95" s="53"/>
      <c r="C95" s="14"/>
      <c r="D95" s="17"/>
      <c r="E95" s="22"/>
      <c r="F95" s="75"/>
      <c r="G95" s="75"/>
      <c r="H95" s="20"/>
      <c r="I95" s="21"/>
    </row>
    <row r="96" spans="2:9" x14ac:dyDescent="0.3">
      <c r="B96" s="53"/>
      <c r="C96" s="14"/>
      <c r="D96" s="17"/>
      <c r="E96" s="22"/>
      <c r="F96" s="75"/>
      <c r="G96" s="75"/>
      <c r="H96" s="20"/>
      <c r="I96" s="21"/>
    </row>
    <row r="97" spans="2:9" x14ac:dyDescent="0.3">
      <c r="B97" s="53"/>
      <c r="C97" s="14"/>
      <c r="D97" s="17"/>
      <c r="E97" s="22"/>
      <c r="F97" s="75"/>
      <c r="G97" s="75"/>
      <c r="H97" s="20"/>
      <c r="I97" s="21"/>
    </row>
    <row r="98" spans="2:9" x14ac:dyDescent="0.3">
      <c r="B98" s="53"/>
      <c r="C98" s="14"/>
      <c r="D98" s="17"/>
      <c r="E98" s="22"/>
      <c r="F98" s="75"/>
      <c r="G98" s="75"/>
      <c r="H98" s="20"/>
      <c r="I98" s="21"/>
    </row>
    <row r="99" spans="2:9" x14ac:dyDescent="0.3">
      <c r="B99" s="53"/>
      <c r="C99" s="14"/>
      <c r="D99" s="17"/>
      <c r="E99" s="22"/>
      <c r="F99" s="75"/>
      <c r="G99" s="75"/>
      <c r="H99" s="20"/>
      <c r="I99" s="21"/>
    </row>
    <row r="100" spans="2:9" x14ac:dyDescent="0.3">
      <c r="B100" s="53"/>
      <c r="C100" s="14"/>
      <c r="D100" s="17"/>
      <c r="E100" s="22"/>
      <c r="F100" s="75"/>
      <c r="G100" s="75"/>
      <c r="H100" s="20"/>
      <c r="I100" s="21"/>
    </row>
    <row r="101" spans="2:9" x14ac:dyDescent="0.3">
      <c r="B101" s="53"/>
      <c r="C101" s="14"/>
      <c r="D101" s="17"/>
      <c r="E101" s="22"/>
      <c r="F101" s="75"/>
      <c r="G101" s="75"/>
      <c r="H101" s="20"/>
      <c r="I101" s="21"/>
    </row>
    <row r="102" spans="2:9" x14ac:dyDescent="0.3">
      <c r="B102" s="53"/>
      <c r="C102" s="14"/>
      <c r="D102" s="17"/>
      <c r="E102" s="22"/>
      <c r="F102" s="75"/>
      <c r="G102" s="75"/>
      <c r="H102" s="20"/>
      <c r="I102" s="21"/>
    </row>
    <row r="103" spans="2:9" x14ac:dyDescent="0.3">
      <c r="B103" s="53"/>
      <c r="C103" s="14"/>
      <c r="D103" s="17"/>
      <c r="E103" s="22"/>
      <c r="F103" s="75"/>
      <c r="G103" s="75"/>
      <c r="H103" s="20"/>
      <c r="I103" s="21"/>
    </row>
    <row r="104" spans="2:9" x14ac:dyDescent="0.3">
      <c r="B104" s="52"/>
      <c r="C104" s="16"/>
      <c r="D104" s="17"/>
      <c r="E104" s="22"/>
      <c r="F104" s="75"/>
      <c r="G104" s="75"/>
      <c r="H104" s="20"/>
      <c r="I104" s="21"/>
    </row>
    <row r="105" spans="2:9" x14ac:dyDescent="0.3">
      <c r="B105" s="53"/>
      <c r="C105" s="14"/>
      <c r="D105" s="17"/>
      <c r="E105" s="22"/>
      <c r="F105" s="75"/>
      <c r="G105" s="75"/>
      <c r="H105" s="20"/>
      <c r="I105" s="21"/>
    </row>
    <row r="106" spans="2:9" x14ac:dyDescent="0.3">
      <c r="B106" s="52"/>
      <c r="C106" s="16"/>
      <c r="D106" s="17"/>
      <c r="E106" s="22"/>
      <c r="F106" s="75"/>
      <c r="G106" s="75"/>
      <c r="H106" s="20"/>
      <c r="I106" s="21"/>
    </row>
    <row r="107" spans="2:9" x14ac:dyDescent="0.3">
      <c r="B107" s="53"/>
      <c r="C107" s="14"/>
      <c r="D107" s="17"/>
      <c r="E107" s="22"/>
      <c r="F107" s="75"/>
      <c r="G107" s="75"/>
      <c r="H107" s="20"/>
      <c r="I107" s="21"/>
    </row>
    <row r="108" spans="2:9" x14ac:dyDescent="0.3">
      <c r="B108" s="53"/>
      <c r="C108" s="14"/>
      <c r="D108" s="17"/>
      <c r="E108" s="22"/>
      <c r="F108" s="75"/>
      <c r="G108" s="75"/>
      <c r="H108" s="20"/>
      <c r="I108" s="21"/>
    </row>
    <row r="109" spans="2:9" x14ac:dyDescent="0.3">
      <c r="B109" s="53"/>
      <c r="C109" s="14"/>
      <c r="D109" s="17"/>
      <c r="E109" s="22"/>
      <c r="F109" s="75"/>
      <c r="G109" s="75"/>
      <c r="H109" s="20"/>
      <c r="I109" s="21"/>
    </row>
    <row r="110" spans="2:9" x14ac:dyDescent="0.3">
      <c r="B110" s="53"/>
      <c r="C110" s="14"/>
      <c r="D110" s="17"/>
      <c r="E110" s="22"/>
      <c r="F110" s="75"/>
      <c r="G110" s="75"/>
      <c r="H110" s="20"/>
      <c r="I110" s="21"/>
    </row>
    <row r="111" spans="2:9" x14ac:dyDescent="0.3">
      <c r="B111" s="53"/>
      <c r="C111" s="14"/>
      <c r="D111" s="17"/>
      <c r="E111" s="22"/>
      <c r="F111" s="75"/>
      <c r="G111" s="75"/>
      <c r="H111" s="20"/>
      <c r="I111" s="21"/>
    </row>
    <row r="112" spans="2:9" x14ac:dyDescent="0.3">
      <c r="B112" s="53"/>
      <c r="C112" s="14"/>
      <c r="D112" s="17"/>
      <c r="E112" s="22"/>
      <c r="F112" s="75"/>
      <c r="G112" s="75"/>
      <c r="H112" s="20"/>
      <c r="I112" s="21"/>
    </row>
    <row r="113" spans="2:9" x14ac:dyDescent="0.3">
      <c r="B113" s="53"/>
      <c r="C113" s="14"/>
      <c r="D113" s="17"/>
      <c r="E113" s="22"/>
      <c r="F113" s="75"/>
      <c r="G113" s="75"/>
      <c r="H113" s="20"/>
      <c r="I113" s="21"/>
    </row>
    <row r="114" spans="2:9" x14ac:dyDescent="0.3">
      <c r="B114" s="53"/>
      <c r="C114" s="14"/>
      <c r="D114" s="17"/>
      <c r="E114" s="22"/>
      <c r="F114" s="75"/>
      <c r="G114" s="75"/>
      <c r="H114" s="20"/>
      <c r="I114" s="21"/>
    </row>
    <row r="115" spans="2:9" x14ac:dyDescent="0.3">
      <c r="B115" s="53"/>
      <c r="C115" s="14"/>
      <c r="D115" s="17"/>
      <c r="E115" s="22"/>
      <c r="F115" s="75"/>
      <c r="G115" s="75"/>
      <c r="H115" s="20"/>
      <c r="I115" s="21"/>
    </row>
    <row r="116" spans="2:9" x14ac:dyDescent="0.3">
      <c r="B116" s="53"/>
      <c r="C116" s="14"/>
      <c r="D116" s="17"/>
      <c r="E116" s="22"/>
      <c r="F116" s="75"/>
      <c r="G116" s="75"/>
      <c r="H116" s="20"/>
      <c r="I116" s="21"/>
    </row>
    <row r="117" spans="2:9" x14ac:dyDescent="0.3">
      <c r="B117" s="52"/>
      <c r="C117" s="16"/>
      <c r="D117" s="17"/>
      <c r="E117" s="22"/>
      <c r="F117" s="76"/>
      <c r="G117" s="75"/>
      <c r="H117" s="18"/>
      <c r="I117" s="19"/>
    </row>
    <row r="118" spans="2:9" x14ac:dyDescent="0.3">
      <c r="B118" s="53"/>
      <c r="C118" s="14"/>
      <c r="D118" s="17"/>
      <c r="E118" s="22"/>
      <c r="F118" s="75"/>
      <c r="G118" s="75"/>
      <c r="H118" s="20"/>
      <c r="I118" s="21"/>
    </row>
    <row r="119" spans="2:9" x14ac:dyDescent="0.3">
      <c r="B119" s="53"/>
      <c r="C119" s="14"/>
      <c r="D119" s="17"/>
      <c r="E119" s="22"/>
      <c r="F119" s="75"/>
      <c r="G119" s="75"/>
      <c r="H119" s="20"/>
      <c r="I119" s="21"/>
    </row>
    <row r="120" spans="2:9" x14ac:dyDescent="0.3">
      <c r="B120" s="53"/>
      <c r="C120" s="14"/>
      <c r="D120" s="17"/>
      <c r="E120" s="22"/>
      <c r="F120" s="75"/>
      <c r="G120" s="75"/>
      <c r="H120" s="20"/>
      <c r="I120" s="21"/>
    </row>
    <row r="121" spans="2:9" x14ac:dyDescent="0.3">
      <c r="B121" s="53"/>
      <c r="C121" s="14"/>
      <c r="D121" s="17"/>
      <c r="E121" s="22"/>
      <c r="F121" s="75"/>
      <c r="G121" s="75"/>
      <c r="H121" s="20"/>
      <c r="I121" s="21"/>
    </row>
    <row r="122" spans="2:9" x14ac:dyDescent="0.3">
      <c r="B122" s="53"/>
      <c r="C122" s="14"/>
      <c r="D122" s="17"/>
      <c r="E122" s="22"/>
      <c r="F122" s="75"/>
      <c r="G122" s="75"/>
      <c r="H122" s="20"/>
      <c r="I122" s="21"/>
    </row>
    <row r="123" spans="2:9" x14ac:dyDescent="0.3">
      <c r="B123" s="53"/>
      <c r="C123" s="14"/>
      <c r="D123" s="17"/>
      <c r="E123" s="22"/>
      <c r="F123" s="75"/>
      <c r="G123" s="75"/>
      <c r="H123" s="20"/>
      <c r="I123" s="21"/>
    </row>
    <row r="124" spans="2:9" x14ac:dyDescent="0.3">
      <c r="B124" s="52"/>
      <c r="C124" s="16"/>
      <c r="D124" s="17"/>
      <c r="E124" s="22"/>
      <c r="F124" s="75"/>
      <c r="G124" s="75"/>
      <c r="H124" s="20"/>
      <c r="I124" s="21"/>
    </row>
    <row r="125" spans="2:9" x14ac:dyDescent="0.3">
      <c r="B125" s="53"/>
      <c r="C125" s="14"/>
      <c r="D125" s="17"/>
      <c r="E125" s="22"/>
      <c r="F125" s="75"/>
      <c r="G125" s="75"/>
      <c r="H125" s="20"/>
      <c r="I125" s="21"/>
    </row>
    <row r="126" spans="2:9" x14ac:dyDescent="0.3">
      <c r="B126" s="53"/>
      <c r="C126" s="14"/>
      <c r="D126" s="17"/>
      <c r="E126" s="22"/>
      <c r="F126" s="75"/>
      <c r="G126" s="75"/>
      <c r="H126" s="20"/>
      <c r="I126" s="21"/>
    </row>
    <row r="127" spans="2:9" x14ac:dyDescent="0.3">
      <c r="B127" s="53"/>
      <c r="C127" s="14"/>
      <c r="D127" s="17"/>
      <c r="E127" s="22"/>
      <c r="F127" s="75"/>
      <c r="G127" s="75"/>
      <c r="H127" s="20"/>
      <c r="I127" s="21"/>
    </row>
    <row r="128" spans="2:9" x14ac:dyDescent="0.3">
      <c r="B128" s="53"/>
      <c r="C128" s="14"/>
      <c r="D128" s="17"/>
      <c r="E128" s="22"/>
      <c r="F128" s="75"/>
      <c r="G128" s="75"/>
      <c r="H128" s="20"/>
      <c r="I128" s="21"/>
    </row>
    <row r="129" spans="2:9" x14ac:dyDescent="0.3">
      <c r="B129" s="53"/>
      <c r="C129" s="14"/>
      <c r="D129" s="17"/>
      <c r="E129" s="22"/>
      <c r="F129" s="75"/>
      <c r="G129" s="75"/>
      <c r="H129" s="20"/>
      <c r="I129" s="21"/>
    </row>
    <row r="130" spans="2:9" x14ac:dyDescent="0.3">
      <c r="B130" s="54"/>
      <c r="C130" s="16"/>
      <c r="D130" s="17"/>
      <c r="E130" s="22"/>
      <c r="F130" s="75"/>
      <c r="G130" s="75"/>
      <c r="H130" s="20"/>
      <c r="I130" s="21"/>
    </row>
    <row r="131" spans="2:9" x14ac:dyDescent="0.3">
      <c r="B131" s="53"/>
      <c r="C131" s="14"/>
      <c r="D131" s="17"/>
      <c r="E131" s="22"/>
      <c r="F131" s="75"/>
      <c r="G131" s="75"/>
      <c r="H131" s="20"/>
      <c r="I131" s="21"/>
    </row>
    <row r="132" spans="2:9" x14ac:dyDescent="0.3">
      <c r="B132" s="53"/>
      <c r="C132" s="14"/>
      <c r="D132" s="17"/>
      <c r="E132" s="22"/>
      <c r="F132" s="75"/>
      <c r="G132" s="75"/>
      <c r="H132" s="20"/>
      <c r="I132" s="21"/>
    </row>
    <row r="133" spans="2:9" x14ac:dyDescent="0.3">
      <c r="B133" s="53"/>
      <c r="C133" s="14"/>
      <c r="D133" s="17"/>
      <c r="E133" s="22"/>
      <c r="F133" s="75"/>
      <c r="G133" s="75"/>
      <c r="H133" s="20"/>
      <c r="I133" s="21"/>
    </row>
    <row r="134" spans="2:9" x14ac:dyDescent="0.3">
      <c r="B134" s="53"/>
      <c r="C134" s="14"/>
      <c r="D134" s="17"/>
      <c r="E134" s="22"/>
      <c r="F134" s="75"/>
      <c r="G134" s="75"/>
      <c r="H134" s="20"/>
      <c r="I134" s="21"/>
    </row>
    <row r="135" spans="2:9" x14ac:dyDescent="0.3">
      <c r="B135" s="53"/>
      <c r="C135" s="14"/>
      <c r="D135" s="17"/>
      <c r="E135" s="22"/>
      <c r="F135" s="75"/>
      <c r="G135" s="75"/>
      <c r="H135" s="20"/>
      <c r="I135" s="21"/>
    </row>
    <row r="136" spans="2:9" x14ac:dyDescent="0.3">
      <c r="B136" s="55"/>
      <c r="C136" s="83"/>
      <c r="D136" s="17"/>
      <c r="E136" s="22"/>
      <c r="F136" s="75"/>
      <c r="G136" s="75"/>
      <c r="H136" s="20"/>
      <c r="I136" s="21"/>
    </row>
    <row r="137" spans="2:9" x14ac:dyDescent="0.3">
      <c r="B137" s="53"/>
      <c r="C137" s="14"/>
      <c r="D137" s="17"/>
      <c r="E137" s="22"/>
      <c r="F137" s="75"/>
      <c r="G137" s="75"/>
      <c r="H137" s="20"/>
      <c r="I137" s="21"/>
    </row>
    <row r="138" spans="2:9" x14ac:dyDescent="0.3">
      <c r="B138" s="53"/>
      <c r="C138" s="14"/>
      <c r="D138" s="17"/>
      <c r="E138" s="22"/>
      <c r="F138" s="75"/>
      <c r="G138" s="75"/>
      <c r="H138" s="20"/>
      <c r="I138" s="21"/>
    </row>
    <row r="139" spans="2:9" x14ac:dyDescent="0.3">
      <c r="B139" s="54"/>
      <c r="C139" s="16"/>
      <c r="D139" s="17"/>
      <c r="E139" s="22"/>
      <c r="F139" s="75"/>
      <c r="G139" s="75"/>
      <c r="H139" s="20"/>
      <c r="I139" s="21"/>
    </row>
    <row r="140" spans="2:9" x14ac:dyDescent="0.3">
      <c r="B140" s="52"/>
      <c r="C140" s="16"/>
      <c r="D140" s="17"/>
      <c r="E140" s="22"/>
      <c r="F140" s="75"/>
      <c r="G140" s="75"/>
      <c r="H140" s="20"/>
      <c r="I140" s="21"/>
    </row>
    <row r="141" spans="2:9" x14ac:dyDescent="0.3">
      <c r="B141" s="53"/>
      <c r="C141" s="14"/>
      <c r="D141" s="17"/>
      <c r="E141" s="22"/>
      <c r="F141" s="75"/>
      <c r="G141" s="75"/>
      <c r="H141" s="20"/>
      <c r="I141" s="21"/>
    </row>
    <row r="142" spans="2:9" x14ac:dyDescent="0.3">
      <c r="B142" s="53"/>
      <c r="C142" s="14"/>
      <c r="D142" s="17"/>
      <c r="E142" s="22"/>
      <c r="F142" s="75"/>
      <c r="G142" s="75"/>
      <c r="H142" s="20"/>
      <c r="I142" s="21"/>
    </row>
    <row r="143" spans="2:9" x14ac:dyDescent="0.3">
      <c r="B143" s="53"/>
      <c r="C143" s="14"/>
      <c r="D143" s="17"/>
      <c r="E143" s="22"/>
      <c r="F143" s="75"/>
      <c r="G143" s="75"/>
      <c r="H143" s="20"/>
      <c r="I143" s="21"/>
    </row>
    <row r="144" spans="2:9" x14ac:dyDescent="0.3">
      <c r="B144" s="53"/>
      <c r="C144" s="14"/>
      <c r="D144" s="17"/>
      <c r="E144" s="22"/>
      <c r="F144" s="75"/>
      <c r="G144" s="75"/>
      <c r="H144" s="20"/>
      <c r="I144" s="21"/>
    </row>
    <row r="145" spans="2:9" x14ac:dyDescent="0.3">
      <c r="B145" s="53"/>
      <c r="C145" s="14"/>
      <c r="D145" s="17"/>
      <c r="E145" s="22"/>
      <c r="F145" s="75"/>
      <c r="G145" s="75"/>
      <c r="H145" s="20"/>
      <c r="I145" s="21"/>
    </row>
    <row r="146" spans="2:9" x14ac:dyDescent="0.3">
      <c r="B146" s="53"/>
      <c r="C146" s="14"/>
      <c r="D146" s="17"/>
      <c r="E146" s="22"/>
      <c r="F146" s="75"/>
      <c r="G146" s="75"/>
      <c r="H146" s="20"/>
      <c r="I146" s="21"/>
    </row>
    <row r="147" spans="2:9" x14ac:dyDescent="0.3">
      <c r="B147" s="53"/>
      <c r="C147" s="14"/>
      <c r="D147" s="17"/>
      <c r="E147" s="22"/>
      <c r="F147" s="75"/>
      <c r="G147" s="75"/>
      <c r="H147" s="20"/>
      <c r="I147" s="21"/>
    </row>
    <row r="148" spans="2:9" x14ac:dyDescent="0.3">
      <c r="B148" s="53"/>
      <c r="C148" s="14"/>
      <c r="D148" s="17"/>
      <c r="E148" s="22"/>
      <c r="F148" s="75"/>
      <c r="G148" s="75"/>
      <c r="H148" s="20"/>
      <c r="I148" s="21"/>
    </row>
    <row r="149" spans="2:9" x14ac:dyDescent="0.3">
      <c r="B149" s="53"/>
      <c r="C149" s="14"/>
      <c r="D149" s="17"/>
      <c r="E149" s="22"/>
      <c r="F149" s="75"/>
      <c r="G149" s="75"/>
      <c r="H149" s="20"/>
      <c r="I149" s="21"/>
    </row>
    <row r="150" spans="2:9" x14ac:dyDescent="0.3">
      <c r="B150" s="52"/>
      <c r="C150" s="16"/>
      <c r="D150" s="17"/>
      <c r="E150" s="22"/>
      <c r="F150" s="75"/>
      <c r="G150" s="75"/>
      <c r="H150" s="20"/>
      <c r="I150" s="21"/>
    </row>
    <row r="151" spans="2:9" x14ac:dyDescent="0.3">
      <c r="B151" s="53"/>
      <c r="C151" s="14"/>
      <c r="D151" s="17"/>
      <c r="E151" s="22"/>
      <c r="F151" s="75"/>
      <c r="G151" s="75"/>
      <c r="H151" s="20"/>
      <c r="I151" s="21"/>
    </row>
    <row r="152" spans="2:9" x14ac:dyDescent="0.3">
      <c r="B152" s="53"/>
      <c r="C152" s="14"/>
      <c r="D152" s="17"/>
      <c r="E152" s="22"/>
      <c r="F152" s="75"/>
      <c r="G152" s="75"/>
      <c r="H152" s="20"/>
      <c r="I152" s="21"/>
    </row>
    <row r="153" spans="2:9" x14ac:dyDescent="0.3">
      <c r="B153" s="53"/>
      <c r="C153" s="14"/>
      <c r="D153" s="17"/>
      <c r="E153" s="22"/>
      <c r="F153" s="76"/>
      <c r="G153" s="75"/>
      <c r="H153" s="18"/>
      <c r="I153" s="19"/>
    </row>
    <row r="154" spans="2:9" x14ac:dyDescent="0.3">
      <c r="B154" s="53"/>
      <c r="C154" s="14"/>
      <c r="D154" s="17"/>
      <c r="E154" s="22"/>
      <c r="F154" s="75"/>
      <c r="G154" s="75"/>
      <c r="H154" s="20"/>
      <c r="I154" s="21"/>
    </row>
    <row r="155" spans="2:9" x14ac:dyDescent="0.3">
      <c r="B155" s="53"/>
      <c r="C155" s="14"/>
      <c r="D155" s="17"/>
      <c r="E155" s="22"/>
      <c r="F155" s="75"/>
      <c r="G155" s="75"/>
      <c r="H155" s="20"/>
      <c r="I155" s="21"/>
    </row>
    <row r="156" spans="2:9" x14ac:dyDescent="0.3">
      <c r="B156" s="53"/>
      <c r="C156" s="14"/>
      <c r="D156" s="17"/>
      <c r="E156" s="22"/>
      <c r="F156" s="75"/>
      <c r="G156" s="75"/>
      <c r="H156" s="20"/>
      <c r="I156" s="21"/>
    </row>
    <row r="157" spans="2:9" x14ac:dyDescent="0.3">
      <c r="B157" s="53"/>
      <c r="C157" s="14"/>
      <c r="D157" s="17"/>
      <c r="E157" s="22"/>
      <c r="F157" s="75"/>
      <c r="G157" s="75"/>
      <c r="H157" s="20"/>
      <c r="I157" s="21"/>
    </row>
    <row r="158" spans="2:9" x14ac:dyDescent="0.3">
      <c r="B158" s="53"/>
      <c r="C158" s="14"/>
      <c r="D158" s="17"/>
      <c r="E158" s="22"/>
      <c r="F158" s="75"/>
      <c r="G158" s="75"/>
      <c r="H158" s="20"/>
      <c r="I158" s="21"/>
    </row>
    <row r="159" spans="2:9" x14ac:dyDescent="0.3">
      <c r="B159" s="53"/>
      <c r="C159" s="14"/>
      <c r="D159" s="17"/>
      <c r="E159" s="22"/>
      <c r="F159" s="75"/>
      <c r="G159" s="75"/>
      <c r="H159" s="20"/>
      <c r="I159" s="21"/>
    </row>
    <row r="160" spans="2:9" x14ac:dyDescent="0.3">
      <c r="B160" s="53"/>
      <c r="C160" s="14"/>
      <c r="D160" s="17"/>
      <c r="E160" s="22"/>
      <c r="F160" s="75"/>
      <c r="G160" s="75"/>
      <c r="H160" s="20"/>
      <c r="I160" s="21"/>
    </row>
    <row r="161" spans="2:9" x14ac:dyDescent="0.3">
      <c r="B161" s="53"/>
      <c r="C161" s="14"/>
      <c r="D161" s="17"/>
      <c r="E161" s="22"/>
      <c r="F161" s="75"/>
      <c r="G161" s="75"/>
      <c r="H161" s="20"/>
      <c r="I161" s="21"/>
    </row>
    <row r="162" spans="2:9" x14ac:dyDescent="0.3">
      <c r="B162" s="53"/>
      <c r="C162" s="14"/>
      <c r="D162" s="17"/>
      <c r="E162" s="22"/>
      <c r="F162" s="75"/>
      <c r="G162" s="75"/>
      <c r="H162" s="20"/>
      <c r="I162" s="21"/>
    </row>
    <row r="163" spans="2:9" x14ac:dyDescent="0.3">
      <c r="B163" s="53"/>
      <c r="C163" s="14"/>
      <c r="D163" s="17"/>
      <c r="E163" s="22"/>
      <c r="F163" s="75"/>
      <c r="G163" s="75"/>
      <c r="H163" s="20"/>
      <c r="I163" s="21"/>
    </row>
    <row r="164" spans="2:9" x14ac:dyDescent="0.3">
      <c r="B164" s="53"/>
      <c r="C164" s="14"/>
      <c r="D164" s="17"/>
      <c r="E164" s="22"/>
      <c r="F164" s="75"/>
      <c r="G164" s="75"/>
      <c r="H164" s="20"/>
      <c r="I164" s="21"/>
    </row>
    <row r="165" spans="2:9" x14ac:dyDescent="0.3">
      <c r="B165" s="53"/>
      <c r="C165" s="14"/>
      <c r="D165" s="17"/>
      <c r="E165" s="22"/>
      <c r="F165" s="75"/>
      <c r="G165" s="75"/>
      <c r="H165" s="20"/>
      <c r="I165" s="21"/>
    </row>
    <row r="166" spans="2:9" x14ac:dyDescent="0.3">
      <c r="B166" s="53"/>
      <c r="C166" s="14"/>
      <c r="D166" s="17"/>
      <c r="E166" s="22"/>
      <c r="F166" s="75"/>
      <c r="G166" s="75"/>
      <c r="H166" s="20"/>
      <c r="I166" s="21"/>
    </row>
    <row r="167" spans="2:9" x14ac:dyDescent="0.3">
      <c r="B167" s="52"/>
      <c r="C167" s="16"/>
      <c r="D167" s="17"/>
      <c r="E167" s="22"/>
      <c r="F167" s="75"/>
      <c r="G167" s="75"/>
      <c r="H167" s="20"/>
      <c r="I167" s="21"/>
    </row>
    <row r="168" spans="2:9" x14ac:dyDescent="0.3">
      <c r="B168" s="53"/>
      <c r="C168" s="14"/>
      <c r="D168" s="17"/>
      <c r="E168" s="22"/>
      <c r="F168" s="75"/>
      <c r="G168" s="75"/>
      <c r="H168" s="20"/>
      <c r="I168" s="21"/>
    </row>
    <row r="169" spans="2:9" x14ac:dyDescent="0.3">
      <c r="B169" s="53"/>
      <c r="C169" s="14"/>
      <c r="D169" s="17"/>
      <c r="E169" s="22"/>
      <c r="F169" s="75"/>
      <c r="G169" s="75"/>
      <c r="H169" s="20"/>
      <c r="I169" s="21"/>
    </row>
    <row r="170" spans="2:9" x14ac:dyDescent="0.3">
      <c r="B170" s="53"/>
      <c r="C170" s="14"/>
      <c r="D170" s="17"/>
      <c r="E170" s="22"/>
      <c r="F170" s="75"/>
      <c r="G170" s="75"/>
      <c r="H170" s="20"/>
      <c r="I170" s="21"/>
    </row>
    <row r="171" spans="2:9" x14ac:dyDescent="0.3">
      <c r="B171" s="53"/>
      <c r="C171" s="14"/>
      <c r="D171" s="17"/>
      <c r="E171" s="22"/>
      <c r="F171" s="75"/>
      <c r="G171" s="75"/>
      <c r="H171" s="20"/>
      <c r="I171" s="21"/>
    </row>
    <row r="172" spans="2:9" x14ac:dyDescent="0.3">
      <c r="B172" s="53"/>
      <c r="C172" s="14"/>
      <c r="D172" s="17"/>
      <c r="E172" s="22"/>
      <c r="F172" s="75"/>
      <c r="G172" s="75"/>
      <c r="H172" s="20"/>
      <c r="I172" s="21"/>
    </row>
    <row r="173" spans="2:9" x14ac:dyDescent="0.3">
      <c r="B173" s="53"/>
      <c r="C173" s="14"/>
      <c r="D173" s="17"/>
      <c r="E173" s="22"/>
      <c r="F173" s="75"/>
      <c r="G173" s="75"/>
      <c r="H173" s="20"/>
      <c r="I173" s="21"/>
    </row>
    <row r="174" spans="2:9" x14ac:dyDescent="0.3">
      <c r="B174" s="53"/>
      <c r="C174" s="14"/>
      <c r="D174" s="17"/>
      <c r="E174" s="22"/>
      <c r="F174" s="75"/>
      <c r="G174" s="75"/>
      <c r="H174" s="20"/>
      <c r="I174" s="21"/>
    </row>
    <row r="175" spans="2:9" x14ac:dyDescent="0.3">
      <c r="B175" s="53"/>
      <c r="C175" s="14"/>
      <c r="D175" s="17"/>
      <c r="E175" s="22"/>
      <c r="F175" s="75"/>
      <c r="G175" s="75"/>
      <c r="H175" s="20"/>
      <c r="I175" s="21"/>
    </row>
    <row r="176" spans="2:9" x14ac:dyDescent="0.3">
      <c r="B176" s="53"/>
      <c r="C176" s="14"/>
      <c r="D176" s="17"/>
      <c r="E176" s="22"/>
      <c r="F176" s="75"/>
      <c r="G176" s="75"/>
      <c r="H176" s="20"/>
      <c r="I176" s="21"/>
    </row>
    <row r="177" spans="2:9" x14ac:dyDescent="0.3">
      <c r="B177" s="53"/>
      <c r="C177" s="14"/>
      <c r="D177" s="17"/>
      <c r="E177" s="22"/>
      <c r="F177" s="75"/>
      <c r="G177" s="75"/>
      <c r="H177" s="20"/>
      <c r="I177" s="21"/>
    </row>
    <row r="178" spans="2:9" x14ac:dyDescent="0.3">
      <c r="B178" s="53"/>
      <c r="C178" s="14"/>
      <c r="D178" s="17"/>
      <c r="E178" s="22"/>
      <c r="F178" s="75"/>
      <c r="G178" s="75"/>
      <c r="H178" s="20"/>
      <c r="I178" s="21"/>
    </row>
    <row r="179" spans="2:9" x14ac:dyDescent="0.3">
      <c r="B179" s="53"/>
      <c r="C179" s="14"/>
      <c r="D179" s="17"/>
      <c r="E179" s="22"/>
      <c r="F179" s="75"/>
      <c r="G179" s="75"/>
      <c r="H179" s="20"/>
      <c r="I179" s="21"/>
    </row>
    <row r="180" spans="2:9" x14ac:dyDescent="0.3">
      <c r="B180" s="53"/>
      <c r="C180" s="14"/>
      <c r="D180" s="17"/>
      <c r="E180" s="22"/>
      <c r="F180" s="75"/>
      <c r="G180" s="75"/>
      <c r="H180" s="20"/>
      <c r="I180" s="21"/>
    </row>
    <row r="181" spans="2:9" x14ac:dyDescent="0.3">
      <c r="B181" s="53"/>
      <c r="C181" s="14"/>
      <c r="D181" s="17"/>
      <c r="E181" s="22"/>
      <c r="F181" s="75"/>
      <c r="G181" s="75"/>
      <c r="H181" s="20"/>
      <c r="I181" s="21"/>
    </row>
    <row r="182" spans="2:9" x14ac:dyDescent="0.3">
      <c r="B182" s="53"/>
      <c r="C182" s="14"/>
      <c r="D182" s="17"/>
      <c r="E182" s="22"/>
      <c r="F182" s="75"/>
      <c r="G182" s="75"/>
      <c r="H182" s="20"/>
      <c r="I182" s="21"/>
    </row>
    <row r="183" spans="2:9" x14ac:dyDescent="0.3">
      <c r="B183" s="53"/>
      <c r="C183" s="14"/>
      <c r="D183" s="17"/>
      <c r="E183" s="22"/>
      <c r="F183" s="75"/>
      <c r="G183" s="75"/>
      <c r="H183" s="20"/>
      <c r="I183" s="21"/>
    </row>
    <row r="184" spans="2:9" x14ac:dyDescent="0.3">
      <c r="B184" s="52"/>
      <c r="C184" s="16"/>
      <c r="D184" s="17"/>
      <c r="E184" s="22"/>
      <c r="F184" s="75"/>
      <c r="G184" s="75"/>
      <c r="H184" s="20"/>
      <c r="I184" s="21"/>
    </row>
    <row r="185" spans="2:9" x14ac:dyDescent="0.3">
      <c r="B185" s="53"/>
      <c r="C185" s="14"/>
      <c r="D185" s="17"/>
      <c r="E185" s="22"/>
      <c r="F185" s="75"/>
      <c r="G185" s="75"/>
      <c r="H185" s="20"/>
      <c r="I185" s="21"/>
    </row>
    <row r="186" spans="2:9" x14ac:dyDescent="0.3">
      <c r="B186" s="53"/>
      <c r="C186" s="14"/>
      <c r="D186" s="17"/>
      <c r="E186" s="22"/>
      <c r="F186" s="75"/>
      <c r="G186" s="75"/>
      <c r="H186" s="20"/>
      <c r="I186" s="21"/>
    </row>
    <row r="187" spans="2:9" x14ac:dyDescent="0.3">
      <c r="B187" s="53"/>
      <c r="C187" s="14"/>
      <c r="D187" s="17"/>
      <c r="E187" s="22"/>
      <c r="F187" s="75"/>
      <c r="G187" s="75"/>
      <c r="H187" s="20"/>
      <c r="I187" s="21"/>
    </row>
    <row r="188" spans="2:9" x14ac:dyDescent="0.3">
      <c r="B188" s="53"/>
      <c r="C188" s="14"/>
      <c r="D188" s="17"/>
      <c r="E188" s="22"/>
      <c r="F188" s="75"/>
      <c r="G188" s="75"/>
      <c r="H188" s="20"/>
      <c r="I188" s="21"/>
    </row>
    <row r="189" spans="2:9" x14ac:dyDescent="0.3">
      <c r="B189" s="53"/>
      <c r="C189" s="14"/>
      <c r="D189" s="17"/>
      <c r="E189" s="22"/>
      <c r="F189" s="76"/>
      <c r="G189" s="75"/>
      <c r="H189" s="18"/>
      <c r="I189" s="19"/>
    </row>
    <row r="190" spans="2:9" x14ac:dyDescent="0.3">
      <c r="B190" s="53"/>
      <c r="C190" s="14"/>
      <c r="D190" s="17"/>
      <c r="E190" s="22"/>
      <c r="F190" s="75"/>
      <c r="G190" s="75"/>
      <c r="H190" s="20"/>
      <c r="I190" s="21"/>
    </row>
    <row r="191" spans="2:9" x14ac:dyDescent="0.3">
      <c r="B191" s="53"/>
      <c r="C191" s="14"/>
      <c r="D191" s="17"/>
      <c r="E191" s="22"/>
      <c r="F191" s="75"/>
      <c r="G191" s="75"/>
      <c r="H191" s="20"/>
      <c r="I191" s="21"/>
    </row>
    <row r="192" spans="2:9" x14ac:dyDescent="0.3">
      <c r="B192" s="53"/>
      <c r="C192" s="14"/>
      <c r="D192" s="17"/>
      <c r="E192" s="22"/>
      <c r="F192" s="75"/>
      <c r="G192" s="75"/>
      <c r="H192" s="20"/>
      <c r="I192" s="21"/>
    </row>
    <row r="193" spans="2:9" x14ac:dyDescent="0.3">
      <c r="B193" s="52"/>
      <c r="C193" s="16"/>
      <c r="D193" s="17"/>
      <c r="E193" s="22"/>
      <c r="F193" s="75"/>
      <c r="G193" s="75"/>
      <c r="H193" s="20"/>
      <c r="I193" s="21"/>
    </row>
    <row r="194" spans="2:9" x14ac:dyDescent="0.3">
      <c r="B194" s="53"/>
      <c r="C194" s="14"/>
      <c r="D194" s="17"/>
      <c r="E194" s="22"/>
      <c r="F194" s="75"/>
      <c r="G194" s="75"/>
      <c r="H194" s="20"/>
      <c r="I194" s="21"/>
    </row>
    <row r="195" spans="2:9" x14ac:dyDescent="0.3">
      <c r="B195" s="53"/>
      <c r="C195" s="14"/>
      <c r="D195" s="17"/>
      <c r="E195" s="22"/>
      <c r="F195" s="75"/>
      <c r="G195" s="75"/>
      <c r="H195" s="20"/>
      <c r="I195" s="21"/>
    </row>
    <row r="196" spans="2:9" x14ac:dyDescent="0.3">
      <c r="B196" s="53"/>
      <c r="C196" s="14"/>
      <c r="D196" s="17"/>
      <c r="E196" s="22"/>
      <c r="F196" s="75"/>
      <c r="G196" s="75"/>
      <c r="H196" s="20"/>
      <c r="I196" s="21"/>
    </row>
    <row r="197" spans="2:9" x14ac:dyDescent="0.3">
      <c r="B197" s="53"/>
      <c r="C197" s="14"/>
      <c r="D197" s="17"/>
      <c r="E197" s="22"/>
      <c r="F197" s="75"/>
      <c r="G197" s="75"/>
      <c r="H197" s="20"/>
      <c r="I197" s="21"/>
    </row>
    <row r="198" spans="2:9" x14ac:dyDescent="0.3">
      <c r="B198" s="53"/>
      <c r="C198" s="14"/>
      <c r="D198" s="17"/>
      <c r="E198" s="22"/>
      <c r="F198" s="75"/>
      <c r="G198" s="75"/>
      <c r="H198" s="20"/>
      <c r="I198" s="21"/>
    </row>
    <row r="199" spans="2:9" x14ac:dyDescent="0.3">
      <c r="B199" s="53"/>
      <c r="C199" s="14"/>
      <c r="D199" s="17"/>
      <c r="E199" s="22"/>
      <c r="F199" s="75"/>
      <c r="G199" s="75"/>
      <c r="H199" s="20"/>
      <c r="I199" s="21"/>
    </row>
    <row r="200" spans="2:9" x14ac:dyDescent="0.3">
      <c r="B200" s="53"/>
      <c r="C200" s="14"/>
      <c r="D200" s="17"/>
      <c r="E200" s="22"/>
      <c r="F200" s="75"/>
      <c r="G200" s="75"/>
      <c r="H200" s="20"/>
      <c r="I200" s="21"/>
    </row>
    <row r="201" spans="2:9" x14ac:dyDescent="0.3">
      <c r="B201" s="53"/>
      <c r="C201" s="14"/>
      <c r="D201" s="17"/>
      <c r="E201" s="22"/>
      <c r="F201" s="75"/>
      <c r="G201" s="75"/>
      <c r="H201" s="20"/>
      <c r="I201" s="21"/>
    </row>
    <row r="202" spans="2:9" x14ac:dyDescent="0.3">
      <c r="B202" s="53"/>
      <c r="C202" s="14"/>
      <c r="D202" s="17"/>
      <c r="E202" s="22"/>
      <c r="F202" s="75"/>
      <c r="G202" s="75"/>
      <c r="H202" s="20"/>
      <c r="I202" s="21"/>
    </row>
    <row r="203" spans="2:9" x14ac:dyDescent="0.3">
      <c r="B203" s="53"/>
      <c r="C203" s="14"/>
      <c r="D203" s="17"/>
      <c r="E203" s="22"/>
      <c r="F203" s="75"/>
      <c r="G203" s="75"/>
      <c r="H203" s="20"/>
      <c r="I203" s="21"/>
    </row>
    <row r="204" spans="2:9" x14ac:dyDescent="0.3">
      <c r="B204" s="53"/>
      <c r="C204" s="14"/>
      <c r="D204" s="17"/>
      <c r="E204" s="22"/>
      <c r="F204" s="76"/>
      <c r="G204" s="75"/>
      <c r="H204" s="18"/>
      <c r="I204" s="19"/>
    </row>
    <row r="205" spans="2:9" x14ac:dyDescent="0.3">
      <c r="B205" s="54"/>
      <c r="C205" s="16"/>
      <c r="D205" s="17"/>
      <c r="E205" s="22"/>
      <c r="F205" s="75"/>
      <c r="G205" s="75"/>
      <c r="H205" s="20"/>
      <c r="I205" s="21"/>
    </row>
    <row r="206" spans="2:9" x14ac:dyDescent="0.3">
      <c r="B206" s="53"/>
      <c r="C206" s="14"/>
      <c r="D206" s="17"/>
      <c r="E206" s="22"/>
      <c r="F206" s="75"/>
      <c r="G206" s="75"/>
      <c r="H206" s="20"/>
      <c r="I206" s="21"/>
    </row>
    <row r="207" spans="2:9" x14ac:dyDescent="0.3">
      <c r="B207" s="53"/>
      <c r="C207" s="14"/>
      <c r="D207" s="17"/>
      <c r="E207" s="22"/>
      <c r="F207" s="75"/>
      <c r="G207" s="75"/>
      <c r="H207" s="20"/>
      <c r="I207" s="21"/>
    </row>
    <row r="208" spans="2:9" x14ac:dyDescent="0.3">
      <c r="B208" s="53"/>
      <c r="C208" s="14"/>
      <c r="D208" s="17"/>
      <c r="E208" s="22"/>
      <c r="F208" s="75"/>
      <c r="G208" s="75"/>
      <c r="H208" s="20"/>
      <c r="I208" s="21"/>
    </row>
    <row r="209" spans="2:9" x14ac:dyDescent="0.3">
      <c r="B209" s="53"/>
      <c r="C209" s="14"/>
      <c r="D209" s="17"/>
      <c r="E209" s="22"/>
      <c r="F209" s="75"/>
      <c r="G209" s="75"/>
      <c r="H209" s="20"/>
      <c r="I209" s="21"/>
    </row>
    <row r="210" spans="2:9" x14ac:dyDescent="0.3">
      <c r="B210" s="53"/>
      <c r="C210" s="14"/>
      <c r="D210" s="17"/>
      <c r="E210" s="22"/>
      <c r="F210" s="75"/>
      <c r="G210" s="75"/>
      <c r="H210" s="20"/>
      <c r="I210" s="21"/>
    </row>
    <row r="211" spans="2:9" x14ac:dyDescent="0.3">
      <c r="B211" s="53"/>
      <c r="C211" s="14"/>
      <c r="D211" s="17"/>
      <c r="E211" s="22"/>
      <c r="F211" s="75"/>
      <c r="G211" s="75"/>
      <c r="H211" s="20"/>
      <c r="I211" s="21"/>
    </row>
    <row r="212" spans="2:9" x14ac:dyDescent="0.3">
      <c r="B212" s="53"/>
      <c r="C212" s="14"/>
      <c r="D212" s="17"/>
      <c r="E212" s="22"/>
      <c r="F212" s="75"/>
      <c r="G212" s="75"/>
      <c r="H212" s="20"/>
      <c r="I212" s="21"/>
    </row>
    <row r="213" spans="2:9" x14ac:dyDescent="0.3">
      <c r="B213" s="53"/>
      <c r="C213" s="14"/>
      <c r="D213" s="17"/>
      <c r="E213" s="22"/>
      <c r="F213" s="75"/>
      <c r="G213" s="75"/>
      <c r="H213" s="20"/>
      <c r="I213" s="21"/>
    </row>
    <row r="214" spans="2:9" x14ac:dyDescent="0.3">
      <c r="B214" s="53"/>
      <c r="C214" s="14"/>
      <c r="D214" s="17"/>
      <c r="E214" s="22"/>
      <c r="F214" s="75"/>
      <c r="G214" s="75"/>
      <c r="H214" s="20"/>
      <c r="I214" s="21"/>
    </row>
    <row r="215" spans="2:9" x14ac:dyDescent="0.3">
      <c r="B215" s="53"/>
      <c r="C215" s="14"/>
      <c r="D215" s="17"/>
      <c r="E215" s="22"/>
      <c r="F215" s="75"/>
      <c r="G215" s="75"/>
      <c r="H215" s="20"/>
      <c r="I215" s="21"/>
    </row>
    <row r="216" spans="2:9" x14ac:dyDescent="0.3">
      <c r="B216" s="53"/>
      <c r="C216" s="14"/>
      <c r="D216" s="17"/>
      <c r="E216" s="22"/>
      <c r="F216" s="75"/>
      <c r="G216" s="75"/>
      <c r="H216" s="20"/>
      <c r="I216" s="21"/>
    </row>
    <row r="217" spans="2:9" x14ac:dyDescent="0.3">
      <c r="B217" s="53"/>
      <c r="C217" s="14"/>
      <c r="D217" s="17"/>
      <c r="E217" s="22"/>
      <c r="F217" s="75"/>
      <c r="G217" s="75"/>
      <c r="H217" s="20"/>
      <c r="I217" s="21"/>
    </row>
    <row r="218" spans="2:9" x14ac:dyDescent="0.3">
      <c r="B218" s="53"/>
      <c r="C218" s="14"/>
      <c r="D218" s="17"/>
      <c r="E218" s="22"/>
      <c r="F218" s="75"/>
      <c r="G218" s="75"/>
      <c r="H218" s="20"/>
      <c r="I218" s="21"/>
    </row>
    <row r="219" spans="2:9" x14ac:dyDescent="0.3">
      <c r="B219" s="53"/>
      <c r="C219" s="14"/>
      <c r="D219" s="17"/>
      <c r="E219" s="22"/>
      <c r="F219" s="75"/>
      <c r="G219" s="75"/>
      <c r="H219" s="20"/>
      <c r="I219" s="21"/>
    </row>
    <row r="220" spans="2:9" x14ac:dyDescent="0.3">
      <c r="B220" s="53"/>
      <c r="C220" s="14"/>
      <c r="D220" s="17"/>
      <c r="E220" s="22"/>
      <c r="F220" s="76"/>
      <c r="G220" s="75"/>
      <c r="H220" s="18"/>
      <c r="I220" s="19"/>
    </row>
    <row r="221" spans="2:9" x14ac:dyDescent="0.3">
      <c r="B221" s="53"/>
      <c r="C221" s="14"/>
      <c r="D221" s="17"/>
      <c r="E221" s="22"/>
      <c r="F221" s="75"/>
      <c r="G221" s="75"/>
      <c r="H221" s="20"/>
      <c r="I221" s="21"/>
    </row>
    <row r="222" spans="2:9" x14ac:dyDescent="0.3">
      <c r="B222" s="53"/>
      <c r="C222" s="14"/>
      <c r="D222" s="17"/>
      <c r="E222" s="22"/>
      <c r="F222" s="75"/>
      <c r="G222" s="75"/>
      <c r="H222" s="20"/>
      <c r="I222" s="21"/>
    </row>
    <row r="223" spans="2:9" x14ac:dyDescent="0.3">
      <c r="B223" s="53"/>
      <c r="C223" s="14"/>
      <c r="D223" s="17"/>
      <c r="E223" s="22"/>
      <c r="F223" s="75"/>
      <c r="G223" s="75"/>
      <c r="H223" s="20"/>
      <c r="I223" s="21"/>
    </row>
    <row r="224" spans="2:9" x14ac:dyDescent="0.3">
      <c r="B224" s="53"/>
      <c r="C224" s="14"/>
      <c r="D224" s="17"/>
      <c r="E224" s="22"/>
      <c r="F224" s="75"/>
      <c r="G224" s="75"/>
      <c r="H224" s="20"/>
      <c r="I224" s="21"/>
    </row>
    <row r="225" spans="2:9" x14ac:dyDescent="0.3">
      <c r="B225" s="53"/>
      <c r="C225" s="14"/>
      <c r="D225" s="17"/>
      <c r="E225" s="22"/>
      <c r="F225" s="75"/>
      <c r="G225" s="75"/>
      <c r="H225" s="20"/>
      <c r="I225" s="21"/>
    </row>
    <row r="226" spans="2:9" x14ac:dyDescent="0.3">
      <c r="B226" s="53"/>
      <c r="C226" s="14"/>
      <c r="D226" s="17"/>
      <c r="E226" s="22"/>
      <c r="F226" s="75"/>
      <c r="G226" s="75"/>
      <c r="H226" s="20"/>
      <c r="I226" s="21"/>
    </row>
    <row r="227" spans="2:9" x14ac:dyDescent="0.3">
      <c r="B227" s="53"/>
      <c r="C227" s="14"/>
      <c r="D227" s="17"/>
      <c r="E227" s="22"/>
      <c r="F227" s="75"/>
      <c r="G227" s="75"/>
      <c r="H227" s="20"/>
      <c r="I227" s="21"/>
    </row>
    <row r="228" spans="2:9" x14ac:dyDescent="0.3">
      <c r="B228" s="53"/>
      <c r="C228" s="14"/>
      <c r="D228" s="17"/>
      <c r="E228" s="22"/>
      <c r="F228" s="75"/>
      <c r="G228" s="75"/>
      <c r="H228" s="20"/>
      <c r="I228" s="21"/>
    </row>
    <row r="229" spans="2:9" x14ac:dyDescent="0.3">
      <c r="B229" s="53"/>
      <c r="C229" s="14"/>
      <c r="D229" s="17"/>
      <c r="E229" s="22"/>
      <c r="F229" s="75"/>
      <c r="G229" s="75"/>
      <c r="H229" s="20"/>
      <c r="I229" s="21"/>
    </row>
    <row r="230" spans="2:9" x14ac:dyDescent="0.3">
      <c r="B230" s="53"/>
      <c r="C230" s="14"/>
      <c r="D230" s="17"/>
      <c r="E230" s="22"/>
      <c r="F230" s="75"/>
      <c r="G230" s="75"/>
      <c r="H230" s="20"/>
      <c r="I230" s="21"/>
    </row>
    <row r="231" spans="2:9" x14ac:dyDescent="0.3">
      <c r="B231" s="53"/>
      <c r="C231" s="14"/>
      <c r="D231" s="17"/>
      <c r="E231" s="22"/>
      <c r="F231" s="75"/>
      <c r="G231" s="75"/>
      <c r="H231" s="20"/>
      <c r="I231" s="21"/>
    </row>
    <row r="232" spans="2:9" x14ac:dyDescent="0.3">
      <c r="B232" s="53"/>
      <c r="C232" s="14"/>
      <c r="D232" s="17"/>
      <c r="E232" s="22"/>
      <c r="F232" s="75"/>
      <c r="G232" s="75"/>
      <c r="H232" s="20"/>
      <c r="I232" s="21"/>
    </row>
    <row r="233" spans="2:9" x14ac:dyDescent="0.3">
      <c r="B233" s="53"/>
      <c r="C233" s="14"/>
      <c r="D233" s="17"/>
      <c r="E233" s="22"/>
      <c r="F233" s="75"/>
      <c r="G233" s="75"/>
      <c r="H233" s="20"/>
      <c r="I233" s="21"/>
    </row>
    <row r="234" spans="2:9" x14ac:dyDescent="0.3">
      <c r="B234" s="53"/>
      <c r="C234" s="14"/>
      <c r="D234" s="17"/>
      <c r="E234" s="22"/>
      <c r="F234" s="75"/>
      <c r="G234" s="75"/>
      <c r="H234" s="20"/>
      <c r="I234" s="21"/>
    </row>
    <row r="235" spans="2:9" x14ac:dyDescent="0.3">
      <c r="B235" s="53"/>
      <c r="C235" s="14"/>
      <c r="D235" s="17"/>
      <c r="E235" s="22"/>
      <c r="F235" s="75"/>
      <c r="G235" s="75"/>
      <c r="H235" s="20"/>
      <c r="I235" s="21"/>
    </row>
    <row r="236" spans="2:9" x14ac:dyDescent="0.3">
      <c r="B236" s="53"/>
      <c r="C236" s="14"/>
      <c r="D236" s="17"/>
      <c r="E236" s="22"/>
      <c r="F236" s="75"/>
      <c r="G236" s="75"/>
      <c r="H236" s="20"/>
      <c r="I236" s="21"/>
    </row>
    <row r="237" spans="2:9" x14ac:dyDescent="0.3">
      <c r="B237" s="53"/>
      <c r="C237" s="14"/>
      <c r="D237" s="17"/>
      <c r="E237" s="22"/>
      <c r="F237" s="75"/>
      <c r="G237" s="75"/>
      <c r="H237" s="20"/>
      <c r="I237" s="21"/>
    </row>
    <row r="238" spans="2:9" x14ac:dyDescent="0.3">
      <c r="B238" s="53"/>
      <c r="C238" s="14"/>
      <c r="D238" s="17"/>
      <c r="E238" s="22"/>
      <c r="F238" s="75"/>
      <c r="G238" s="75"/>
      <c r="H238" s="20"/>
      <c r="I238" s="21"/>
    </row>
    <row r="239" spans="2:9" x14ac:dyDescent="0.3">
      <c r="B239" s="53"/>
      <c r="C239" s="14"/>
      <c r="D239" s="17"/>
      <c r="E239" s="22"/>
      <c r="F239" s="75"/>
      <c r="G239" s="75"/>
      <c r="H239" s="20"/>
      <c r="I239" s="21"/>
    </row>
    <row r="240" spans="2:9" x14ac:dyDescent="0.3">
      <c r="B240" s="53"/>
      <c r="C240" s="14"/>
      <c r="D240" s="17"/>
      <c r="E240" s="22"/>
      <c r="F240" s="75"/>
      <c r="G240" s="75"/>
      <c r="H240" s="20"/>
      <c r="I240" s="21"/>
    </row>
    <row r="241" spans="2:9" x14ac:dyDescent="0.3">
      <c r="B241" s="54"/>
      <c r="C241" s="16"/>
      <c r="D241" s="17"/>
      <c r="E241" s="22"/>
      <c r="F241" s="75"/>
      <c r="G241" s="75"/>
      <c r="H241" s="20"/>
      <c r="I241" s="21"/>
    </row>
    <row r="242" spans="2:9" x14ac:dyDescent="0.3">
      <c r="B242" s="53"/>
      <c r="C242" s="14"/>
      <c r="D242" s="17"/>
      <c r="E242" s="22"/>
      <c r="F242" s="75"/>
      <c r="G242" s="75"/>
      <c r="H242" s="20"/>
      <c r="I242" s="21"/>
    </row>
    <row r="243" spans="2:9" x14ac:dyDescent="0.3">
      <c r="B243" s="53"/>
      <c r="C243" s="14"/>
      <c r="D243" s="17"/>
      <c r="E243" s="22"/>
      <c r="F243" s="75"/>
      <c r="G243" s="75"/>
      <c r="H243" s="20"/>
      <c r="I243" s="21"/>
    </row>
    <row r="244" spans="2:9" x14ac:dyDescent="0.3">
      <c r="B244" s="53"/>
      <c r="C244" s="14"/>
      <c r="D244" s="17"/>
      <c r="E244" s="22"/>
      <c r="F244" s="75"/>
      <c r="G244" s="75"/>
      <c r="H244" s="20"/>
      <c r="I244" s="21"/>
    </row>
    <row r="245" spans="2:9" x14ac:dyDescent="0.3">
      <c r="B245" s="53"/>
      <c r="C245" s="14"/>
      <c r="D245" s="17"/>
      <c r="E245" s="22"/>
      <c r="F245" s="75"/>
      <c r="G245" s="75"/>
      <c r="H245" s="20"/>
      <c r="I245" s="21"/>
    </row>
    <row r="246" spans="2:9" x14ac:dyDescent="0.3">
      <c r="B246" s="53"/>
      <c r="C246" s="14"/>
      <c r="D246" s="17"/>
      <c r="E246" s="22"/>
      <c r="F246" s="75"/>
      <c r="G246" s="75"/>
      <c r="H246" s="20"/>
      <c r="I246" s="21"/>
    </row>
    <row r="247" spans="2:9" x14ac:dyDescent="0.3">
      <c r="B247" s="53"/>
      <c r="C247" s="14"/>
      <c r="D247" s="17"/>
      <c r="E247" s="22"/>
      <c r="F247" s="75"/>
      <c r="G247" s="75"/>
      <c r="H247" s="20"/>
      <c r="I247" s="21"/>
    </row>
    <row r="248" spans="2:9" x14ac:dyDescent="0.3">
      <c r="B248" s="53"/>
      <c r="C248" s="14"/>
      <c r="D248" s="17"/>
      <c r="E248" s="22"/>
      <c r="F248" s="75"/>
      <c r="G248" s="75"/>
      <c r="H248" s="20"/>
      <c r="I248" s="21"/>
    </row>
    <row r="249" spans="2:9" x14ac:dyDescent="0.3">
      <c r="B249" s="53"/>
      <c r="C249" s="14"/>
      <c r="D249" s="17"/>
      <c r="E249" s="22"/>
      <c r="F249" s="75"/>
      <c r="G249" s="75"/>
      <c r="H249" s="20"/>
      <c r="I249" s="21"/>
    </row>
    <row r="250" spans="2:9" x14ac:dyDescent="0.3">
      <c r="B250" s="53"/>
      <c r="C250" s="14"/>
      <c r="D250" s="17"/>
      <c r="E250" s="22"/>
      <c r="F250" s="75"/>
      <c r="G250" s="75"/>
      <c r="H250" s="20"/>
      <c r="I250" s="21"/>
    </row>
    <row r="251" spans="2:9" x14ac:dyDescent="0.3">
      <c r="B251" s="53"/>
      <c r="C251" s="14"/>
      <c r="D251" s="17"/>
      <c r="E251" s="22"/>
      <c r="F251" s="75"/>
      <c r="G251" s="75"/>
      <c r="H251" s="20"/>
      <c r="I251" s="21"/>
    </row>
    <row r="252" spans="2:9" x14ac:dyDescent="0.3">
      <c r="B252" s="53"/>
      <c r="C252" s="14"/>
      <c r="D252" s="17"/>
      <c r="E252" s="22"/>
      <c r="F252" s="75"/>
      <c r="G252" s="75"/>
      <c r="H252" s="20"/>
      <c r="I252" s="21"/>
    </row>
    <row r="253" spans="2:9" x14ac:dyDescent="0.3">
      <c r="B253" s="53"/>
      <c r="C253" s="14"/>
      <c r="D253" s="17"/>
      <c r="E253" s="22"/>
      <c r="F253" s="76"/>
      <c r="G253" s="75"/>
      <c r="H253" s="18"/>
      <c r="I253" s="19"/>
    </row>
    <row r="254" spans="2:9" x14ac:dyDescent="0.3">
      <c r="B254" s="53"/>
      <c r="C254" s="14"/>
      <c r="D254" s="17"/>
      <c r="E254" s="22"/>
      <c r="F254" s="75"/>
      <c r="G254" s="75"/>
      <c r="H254" s="20"/>
      <c r="I254" s="21"/>
    </row>
    <row r="255" spans="2:9" x14ac:dyDescent="0.3">
      <c r="B255" s="53"/>
      <c r="C255" s="14"/>
      <c r="D255" s="17"/>
      <c r="E255" s="22"/>
      <c r="F255" s="75"/>
      <c r="G255" s="75"/>
      <c r="H255" s="20"/>
      <c r="I255" s="21"/>
    </row>
    <row r="256" spans="2:9" x14ac:dyDescent="0.3">
      <c r="B256" s="53"/>
      <c r="C256" s="14"/>
      <c r="D256" s="17"/>
      <c r="E256" s="22"/>
      <c r="F256" s="75"/>
      <c r="G256" s="75"/>
      <c r="H256" s="20"/>
      <c r="I256" s="21"/>
    </row>
    <row r="257" spans="2:9" x14ac:dyDescent="0.3">
      <c r="B257" s="53"/>
      <c r="C257" s="14"/>
      <c r="D257" s="17"/>
      <c r="E257" s="22"/>
      <c r="F257" s="75"/>
      <c r="G257" s="75"/>
      <c r="H257" s="20"/>
      <c r="I257" s="21"/>
    </row>
    <row r="258" spans="2:9" x14ac:dyDescent="0.3">
      <c r="B258" s="53"/>
      <c r="C258" s="14"/>
      <c r="D258" s="17"/>
      <c r="E258" s="22"/>
      <c r="F258" s="75"/>
      <c r="G258" s="75"/>
      <c r="H258" s="20"/>
      <c r="I258" s="21"/>
    </row>
    <row r="259" spans="2:9" x14ac:dyDescent="0.3">
      <c r="B259" s="53"/>
      <c r="C259" s="14"/>
      <c r="D259" s="17"/>
      <c r="E259" s="22"/>
      <c r="F259" s="75"/>
      <c r="G259" s="75"/>
      <c r="H259" s="20"/>
      <c r="I259" s="21"/>
    </row>
    <row r="260" spans="2:9" x14ac:dyDescent="0.3">
      <c r="B260" s="53"/>
      <c r="C260" s="14"/>
      <c r="D260" s="17"/>
      <c r="E260" s="22"/>
      <c r="F260" s="75"/>
      <c r="G260" s="75"/>
      <c r="H260" s="20"/>
      <c r="I260" s="21"/>
    </row>
    <row r="261" spans="2:9" x14ac:dyDescent="0.3">
      <c r="B261" s="53"/>
      <c r="C261" s="14"/>
      <c r="D261" s="17"/>
      <c r="E261" s="22"/>
      <c r="F261" s="76"/>
      <c r="G261" s="75"/>
      <c r="H261" s="18"/>
      <c r="I261" s="19"/>
    </row>
    <row r="262" spans="2:9" x14ac:dyDescent="0.3">
      <c r="B262" s="53"/>
      <c r="C262" s="14"/>
      <c r="D262" s="17"/>
      <c r="E262" s="22"/>
      <c r="F262" s="75"/>
      <c r="G262" s="75"/>
      <c r="H262" s="20"/>
      <c r="I262" s="21"/>
    </row>
    <row r="263" spans="2:9" x14ac:dyDescent="0.3">
      <c r="B263" s="53"/>
      <c r="C263" s="14"/>
      <c r="D263" s="17"/>
      <c r="E263" s="22"/>
      <c r="F263" s="75"/>
      <c r="G263" s="75"/>
      <c r="H263" s="20"/>
      <c r="I263" s="21"/>
    </row>
    <row r="264" spans="2:9" x14ac:dyDescent="0.3">
      <c r="B264" s="53"/>
      <c r="C264" s="14"/>
      <c r="D264" s="17"/>
      <c r="E264" s="22"/>
      <c r="F264" s="75"/>
      <c r="G264" s="75"/>
      <c r="H264" s="20"/>
      <c r="I264" s="21"/>
    </row>
    <row r="265" spans="2:9" x14ac:dyDescent="0.3">
      <c r="B265" s="53"/>
      <c r="C265" s="14"/>
      <c r="D265" s="17"/>
      <c r="E265" s="22"/>
      <c r="F265" s="75"/>
      <c r="G265" s="75"/>
      <c r="H265" s="20"/>
      <c r="I265" s="21"/>
    </row>
    <row r="266" spans="2:9" x14ac:dyDescent="0.3">
      <c r="B266" s="53"/>
      <c r="C266" s="14"/>
      <c r="D266" s="17"/>
      <c r="E266" s="22"/>
      <c r="F266" s="75"/>
      <c r="G266" s="75"/>
      <c r="H266" s="20"/>
      <c r="I266" s="21"/>
    </row>
    <row r="267" spans="2:9" x14ac:dyDescent="0.3">
      <c r="B267" s="53"/>
      <c r="C267" s="14"/>
      <c r="D267" s="17"/>
      <c r="E267" s="22"/>
      <c r="F267" s="77"/>
      <c r="G267" s="78"/>
      <c r="H267" s="23"/>
      <c r="I267" s="24"/>
    </row>
    <row r="268" spans="2:9" x14ac:dyDescent="0.3">
      <c r="B268" s="53"/>
      <c r="C268" s="14"/>
      <c r="D268" s="17"/>
      <c r="E268" s="22"/>
      <c r="F268" s="75"/>
      <c r="G268" s="75"/>
      <c r="H268" s="20"/>
      <c r="I268" s="21"/>
    </row>
    <row r="269" spans="2:9" x14ac:dyDescent="0.3">
      <c r="B269" s="53"/>
      <c r="C269" s="14"/>
      <c r="D269" s="17"/>
      <c r="E269" s="22"/>
      <c r="F269" s="75"/>
      <c r="G269" s="75"/>
      <c r="H269" s="20"/>
      <c r="I269" s="21"/>
    </row>
    <row r="270" spans="2:9" x14ac:dyDescent="0.3">
      <c r="B270" s="53"/>
      <c r="C270" s="14"/>
      <c r="D270" s="17"/>
      <c r="E270" s="22"/>
      <c r="F270" s="75"/>
      <c r="G270" s="75"/>
      <c r="H270" s="20"/>
      <c r="I270" s="21"/>
    </row>
    <row r="271" spans="2:9" x14ac:dyDescent="0.3">
      <c r="B271" s="53"/>
      <c r="C271" s="14"/>
      <c r="D271" s="17"/>
      <c r="E271" s="22"/>
      <c r="F271" s="76"/>
      <c r="G271" s="75"/>
      <c r="H271" s="18"/>
      <c r="I271" s="19"/>
    </row>
    <row r="272" spans="2:9" ht="19.5" customHeight="1" x14ac:dyDescent="0.3">
      <c r="B272" s="53"/>
      <c r="C272" s="14"/>
      <c r="D272" s="17"/>
      <c r="E272" s="22"/>
      <c r="F272" s="75"/>
      <c r="G272" s="75"/>
      <c r="H272" s="20"/>
      <c r="I272" s="21"/>
    </row>
    <row r="273" spans="2:9" x14ac:dyDescent="0.3">
      <c r="B273" s="53"/>
      <c r="C273" s="14"/>
      <c r="D273" s="17"/>
      <c r="E273" s="22"/>
      <c r="F273" s="75"/>
      <c r="G273" s="75"/>
      <c r="H273" s="20"/>
      <c r="I273" s="21"/>
    </row>
    <row r="274" spans="2:9" x14ac:dyDescent="0.3">
      <c r="B274" s="53"/>
      <c r="C274" s="14"/>
      <c r="D274" s="17"/>
      <c r="E274" s="22"/>
      <c r="F274" s="75"/>
      <c r="G274" s="75"/>
      <c r="H274" s="20"/>
      <c r="I274" s="21"/>
    </row>
    <row r="275" spans="2:9" ht="20.25" customHeight="1" x14ac:dyDescent="0.3">
      <c r="B275" s="53"/>
      <c r="C275" s="14"/>
      <c r="D275" s="17"/>
      <c r="E275" s="22"/>
      <c r="F275" s="75"/>
      <c r="G275" s="75"/>
      <c r="H275" s="20"/>
      <c r="I275" s="21"/>
    </row>
    <row r="276" spans="2:9" x14ac:dyDescent="0.3">
      <c r="B276" s="53"/>
      <c r="C276" s="14"/>
      <c r="D276" s="17"/>
      <c r="E276" s="22"/>
      <c r="F276" s="75"/>
      <c r="G276" s="75"/>
      <c r="H276" s="20"/>
      <c r="I276" s="21"/>
    </row>
    <row r="277" spans="2:9" x14ac:dyDescent="0.3">
      <c r="B277" s="54"/>
      <c r="C277" s="16"/>
      <c r="D277" s="17"/>
      <c r="E277" s="22"/>
      <c r="F277" s="75"/>
      <c r="G277" s="75"/>
      <c r="H277" s="20"/>
      <c r="I277" s="21"/>
    </row>
    <row r="278" spans="2:9" x14ac:dyDescent="0.3">
      <c r="B278" s="53"/>
      <c r="C278" s="14"/>
      <c r="D278" s="17"/>
      <c r="E278" s="22"/>
      <c r="F278" s="75"/>
      <c r="G278" s="75"/>
      <c r="H278" s="20"/>
      <c r="I278" s="21"/>
    </row>
    <row r="279" spans="2:9" x14ac:dyDescent="0.3">
      <c r="B279" s="53"/>
      <c r="C279" s="14"/>
      <c r="D279" s="17"/>
      <c r="E279" s="22"/>
      <c r="F279" s="75"/>
      <c r="G279" s="75"/>
      <c r="H279" s="20"/>
      <c r="I279" s="21"/>
    </row>
    <row r="280" spans="2:9" x14ac:dyDescent="0.3">
      <c r="B280" s="53"/>
      <c r="C280" s="14"/>
      <c r="D280" s="17"/>
      <c r="E280" s="22"/>
      <c r="F280" s="75"/>
      <c r="G280" s="75"/>
      <c r="H280" s="20"/>
      <c r="I280" s="21"/>
    </row>
    <row r="281" spans="2:9" x14ac:dyDescent="0.3">
      <c r="B281" s="53"/>
      <c r="C281" s="14"/>
      <c r="D281" s="17"/>
      <c r="E281" s="22"/>
      <c r="F281" s="75"/>
      <c r="G281" s="75"/>
      <c r="H281" s="20"/>
      <c r="I281" s="21"/>
    </row>
    <row r="282" spans="2:9" x14ac:dyDescent="0.3">
      <c r="B282" s="53"/>
      <c r="C282" s="14"/>
      <c r="D282" s="17"/>
      <c r="E282" s="22"/>
      <c r="F282" s="75"/>
      <c r="G282" s="75"/>
      <c r="H282" s="20"/>
      <c r="I282" s="21"/>
    </row>
    <row r="283" spans="2:9" x14ac:dyDescent="0.3">
      <c r="B283" s="53"/>
      <c r="C283" s="14"/>
      <c r="D283" s="17"/>
      <c r="E283" s="22"/>
      <c r="F283" s="75"/>
      <c r="G283" s="75"/>
      <c r="H283" s="20"/>
      <c r="I283" s="21"/>
    </row>
    <row r="284" spans="2:9" x14ac:dyDescent="0.3">
      <c r="B284" s="53"/>
      <c r="C284" s="14"/>
      <c r="D284" s="17"/>
      <c r="E284" s="22"/>
      <c r="F284" s="75"/>
      <c r="G284" s="75"/>
      <c r="H284" s="20"/>
      <c r="I284" s="21"/>
    </row>
    <row r="285" spans="2:9" x14ac:dyDescent="0.3">
      <c r="B285" s="53"/>
      <c r="C285" s="14"/>
      <c r="D285" s="17"/>
      <c r="E285" s="22"/>
      <c r="F285" s="75"/>
      <c r="G285" s="75"/>
      <c r="H285" s="20"/>
      <c r="I285" s="21"/>
    </row>
    <row r="286" spans="2:9" x14ac:dyDescent="0.3">
      <c r="B286" s="53"/>
      <c r="C286" s="14"/>
      <c r="D286" s="17"/>
      <c r="E286" s="22"/>
      <c r="F286" s="75"/>
      <c r="G286" s="75"/>
      <c r="H286" s="20"/>
      <c r="I286" s="21"/>
    </row>
    <row r="287" spans="2:9" x14ac:dyDescent="0.3">
      <c r="B287" s="53"/>
      <c r="C287" s="14"/>
      <c r="D287" s="17"/>
      <c r="E287" s="22"/>
      <c r="F287" s="75"/>
      <c r="G287" s="75"/>
      <c r="H287" s="20"/>
      <c r="I287" s="21"/>
    </row>
    <row r="288" spans="2:9" x14ac:dyDescent="0.3">
      <c r="B288" s="53"/>
      <c r="C288" s="14"/>
      <c r="D288" s="17"/>
      <c r="E288" s="22"/>
      <c r="F288" s="75"/>
      <c r="G288" s="75"/>
      <c r="H288" s="20"/>
      <c r="I288" s="21"/>
    </row>
    <row r="289" spans="2:9" x14ac:dyDescent="0.3">
      <c r="B289" s="53"/>
      <c r="C289" s="14"/>
      <c r="D289" s="17"/>
      <c r="E289" s="22"/>
      <c r="F289" s="75"/>
      <c r="G289" s="75"/>
      <c r="H289" s="20"/>
      <c r="I289" s="21"/>
    </row>
    <row r="290" spans="2:9" x14ac:dyDescent="0.3">
      <c r="B290" s="53"/>
      <c r="C290" s="14"/>
      <c r="D290" s="17"/>
      <c r="E290" s="22"/>
      <c r="F290" s="75"/>
      <c r="G290" s="75"/>
      <c r="H290" s="20"/>
      <c r="I290" s="21"/>
    </row>
    <row r="291" spans="2:9" x14ac:dyDescent="0.3">
      <c r="B291" s="53"/>
      <c r="C291" s="14"/>
      <c r="D291" s="17"/>
      <c r="E291" s="22"/>
      <c r="F291" s="75"/>
      <c r="G291" s="75"/>
      <c r="H291" s="20"/>
      <c r="I291" s="21"/>
    </row>
    <row r="292" spans="2:9" x14ac:dyDescent="0.3">
      <c r="B292" s="54"/>
      <c r="C292" s="16"/>
      <c r="D292" s="17"/>
      <c r="E292" s="22"/>
      <c r="F292" s="75"/>
      <c r="G292" s="75"/>
      <c r="H292" s="20"/>
      <c r="I292" s="21"/>
    </row>
    <row r="293" spans="2:9" x14ac:dyDescent="0.3">
      <c r="B293" s="53"/>
      <c r="C293" s="14"/>
      <c r="D293" s="17"/>
      <c r="E293" s="22"/>
      <c r="F293" s="75"/>
      <c r="G293" s="75"/>
      <c r="H293" s="20"/>
      <c r="I293" s="21"/>
    </row>
    <row r="294" spans="2:9" x14ac:dyDescent="0.3">
      <c r="B294" s="53"/>
      <c r="C294" s="14"/>
      <c r="D294" s="17"/>
      <c r="E294" s="22"/>
      <c r="F294" s="75"/>
      <c r="G294" s="75"/>
      <c r="H294" s="20"/>
      <c r="I294" s="21"/>
    </row>
    <row r="295" spans="2:9" x14ac:dyDescent="0.3">
      <c r="B295" s="53"/>
      <c r="C295" s="14"/>
      <c r="D295" s="17"/>
      <c r="E295" s="22"/>
      <c r="F295" s="75"/>
      <c r="G295" s="75"/>
      <c r="H295" s="20"/>
      <c r="I295" s="21"/>
    </row>
    <row r="296" spans="2:9" x14ac:dyDescent="0.3">
      <c r="B296" s="53"/>
      <c r="C296" s="14"/>
      <c r="D296" s="17"/>
      <c r="E296" s="22"/>
      <c r="F296" s="75"/>
      <c r="G296" s="75"/>
      <c r="H296" s="20"/>
      <c r="I296" s="21"/>
    </row>
    <row r="297" spans="2:9" x14ac:dyDescent="0.3">
      <c r="B297" s="53"/>
      <c r="C297" s="14"/>
      <c r="D297" s="17"/>
      <c r="E297" s="22"/>
      <c r="F297" s="75"/>
      <c r="G297" s="75"/>
      <c r="H297" s="20"/>
      <c r="I297" s="21"/>
    </row>
    <row r="298" spans="2:9" x14ac:dyDescent="0.3">
      <c r="B298" s="53"/>
      <c r="C298" s="14"/>
      <c r="D298" s="17"/>
      <c r="E298" s="22"/>
      <c r="F298" s="75"/>
      <c r="G298" s="75"/>
      <c r="H298" s="20"/>
      <c r="I298" s="21"/>
    </row>
    <row r="299" spans="2:9" x14ac:dyDescent="0.3">
      <c r="B299" s="53"/>
      <c r="C299" s="14"/>
      <c r="D299" s="17"/>
      <c r="E299" s="22"/>
      <c r="F299" s="75"/>
      <c r="G299" s="75"/>
      <c r="H299" s="20"/>
      <c r="I299" s="21"/>
    </row>
    <row r="300" spans="2:9" x14ac:dyDescent="0.3">
      <c r="B300" s="53"/>
      <c r="C300" s="14"/>
      <c r="D300" s="17"/>
      <c r="E300" s="22"/>
      <c r="F300" s="75"/>
      <c r="G300" s="75"/>
      <c r="H300" s="20"/>
      <c r="I300" s="21"/>
    </row>
    <row r="301" spans="2:9" x14ac:dyDescent="0.3">
      <c r="B301" s="53"/>
      <c r="C301" s="14"/>
      <c r="D301" s="17"/>
      <c r="E301" s="22"/>
      <c r="F301" s="75"/>
      <c r="G301" s="75"/>
      <c r="H301" s="20"/>
      <c r="I301" s="21"/>
    </row>
    <row r="302" spans="2:9" x14ac:dyDescent="0.3">
      <c r="B302" s="53"/>
      <c r="C302" s="14"/>
      <c r="D302" s="17"/>
      <c r="E302" s="22"/>
      <c r="F302" s="75"/>
      <c r="G302" s="75"/>
      <c r="H302" s="20"/>
      <c r="I302" s="21"/>
    </row>
    <row r="303" spans="2:9" x14ac:dyDescent="0.3">
      <c r="B303" s="53"/>
      <c r="C303" s="14"/>
      <c r="D303" s="17"/>
      <c r="E303" s="22"/>
      <c r="F303" s="75"/>
      <c r="G303" s="75"/>
      <c r="H303" s="20"/>
      <c r="I303" s="21"/>
    </row>
    <row r="304" spans="2:9" x14ac:dyDescent="0.3">
      <c r="B304" s="53"/>
      <c r="C304" s="14"/>
      <c r="D304" s="17"/>
      <c r="E304" s="22"/>
      <c r="F304" s="75"/>
      <c r="G304" s="75"/>
      <c r="H304" s="20"/>
      <c r="I304" s="21"/>
    </row>
    <row r="305" spans="2:9" x14ac:dyDescent="0.3">
      <c r="B305" s="53"/>
      <c r="C305" s="14"/>
      <c r="D305" s="17"/>
      <c r="E305" s="22"/>
      <c r="F305" s="75"/>
      <c r="G305" s="75"/>
      <c r="H305" s="20"/>
      <c r="I305" s="21"/>
    </row>
    <row r="306" spans="2:9" x14ac:dyDescent="0.3">
      <c r="B306" s="53"/>
      <c r="C306" s="14"/>
      <c r="D306" s="17"/>
      <c r="E306" s="22"/>
      <c r="F306" s="75"/>
      <c r="G306" s="75"/>
      <c r="H306" s="20"/>
      <c r="I306" s="21"/>
    </row>
    <row r="307" spans="2:9" x14ac:dyDescent="0.3">
      <c r="B307" s="53"/>
      <c r="C307" s="14"/>
      <c r="D307" s="17"/>
      <c r="E307" s="22"/>
      <c r="F307" s="75"/>
      <c r="G307" s="75"/>
      <c r="H307" s="20"/>
      <c r="I307" s="21"/>
    </row>
    <row r="308" spans="2:9" x14ac:dyDescent="0.3">
      <c r="B308" s="54"/>
      <c r="C308" s="16"/>
      <c r="D308" s="17"/>
      <c r="E308" s="22"/>
      <c r="F308" s="75"/>
      <c r="G308" s="75"/>
      <c r="H308" s="20"/>
      <c r="I308" s="21"/>
    </row>
    <row r="309" spans="2:9" x14ac:dyDescent="0.3">
      <c r="B309" s="53"/>
      <c r="C309" s="14"/>
      <c r="D309" s="17"/>
      <c r="E309" s="22"/>
      <c r="F309" s="75"/>
      <c r="G309" s="75"/>
      <c r="H309" s="20"/>
      <c r="I309" s="21"/>
    </row>
    <row r="310" spans="2:9" x14ac:dyDescent="0.3">
      <c r="B310" s="53"/>
      <c r="C310" s="14"/>
      <c r="D310" s="17"/>
      <c r="E310" s="22"/>
      <c r="F310" s="75"/>
      <c r="G310" s="75"/>
      <c r="H310" s="20"/>
      <c r="I310" s="21"/>
    </row>
    <row r="311" spans="2:9" x14ac:dyDescent="0.3">
      <c r="B311" s="53"/>
      <c r="C311" s="14"/>
      <c r="D311" s="17"/>
      <c r="E311" s="22"/>
      <c r="F311" s="75"/>
      <c r="G311" s="75"/>
      <c r="H311" s="20"/>
      <c r="I311" s="21"/>
    </row>
    <row r="312" spans="2:9" x14ac:dyDescent="0.3">
      <c r="B312" s="53"/>
      <c r="C312" s="14"/>
      <c r="D312" s="17"/>
      <c r="E312" s="22"/>
      <c r="F312" s="75"/>
      <c r="G312" s="75"/>
      <c r="H312" s="20"/>
      <c r="I312" s="21"/>
    </row>
    <row r="313" spans="2:9" x14ac:dyDescent="0.3">
      <c r="B313" s="53"/>
      <c r="C313" s="14"/>
      <c r="D313" s="17"/>
      <c r="E313" s="22"/>
      <c r="F313" s="76"/>
      <c r="G313" s="75"/>
      <c r="H313" s="18"/>
      <c r="I313" s="19"/>
    </row>
    <row r="314" spans="2:9" x14ac:dyDescent="0.3">
      <c r="B314" s="53"/>
      <c r="C314" s="14"/>
      <c r="D314" s="17"/>
      <c r="E314" s="22"/>
      <c r="F314" s="75"/>
      <c r="G314" s="75"/>
      <c r="H314" s="20"/>
      <c r="I314" s="21"/>
    </row>
    <row r="315" spans="2:9" x14ac:dyDescent="0.3">
      <c r="B315" s="53"/>
      <c r="C315" s="14"/>
      <c r="D315" s="17"/>
      <c r="E315" s="22"/>
      <c r="F315" s="75"/>
      <c r="G315" s="75"/>
      <c r="H315" s="20"/>
      <c r="I315" s="21"/>
    </row>
    <row r="316" spans="2:9" x14ac:dyDescent="0.3">
      <c r="B316" s="53"/>
      <c r="C316" s="14"/>
      <c r="D316" s="17"/>
      <c r="E316" s="22"/>
      <c r="F316" s="75"/>
      <c r="G316" s="75"/>
      <c r="H316" s="20"/>
      <c r="I316" s="21"/>
    </row>
    <row r="317" spans="2:9" x14ac:dyDescent="0.3">
      <c r="B317" s="53"/>
      <c r="C317" s="14"/>
      <c r="D317" s="17"/>
      <c r="E317" s="22"/>
      <c r="F317" s="75"/>
      <c r="G317" s="75"/>
      <c r="H317" s="20"/>
      <c r="I317" s="21"/>
    </row>
    <row r="318" spans="2:9" x14ac:dyDescent="0.3">
      <c r="B318" s="53"/>
      <c r="C318" s="14"/>
      <c r="D318" s="17"/>
      <c r="E318" s="22"/>
      <c r="F318" s="75"/>
      <c r="G318" s="75"/>
      <c r="H318" s="20"/>
      <c r="I318" s="21"/>
    </row>
    <row r="319" spans="2:9" x14ac:dyDescent="0.3">
      <c r="B319" s="53"/>
      <c r="C319" s="14"/>
      <c r="D319" s="17"/>
      <c r="E319" s="22"/>
      <c r="F319" s="75"/>
      <c r="G319" s="75"/>
      <c r="H319" s="20"/>
      <c r="I319" s="21"/>
    </row>
    <row r="320" spans="2:9" x14ac:dyDescent="0.3">
      <c r="B320" s="53"/>
      <c r="C320" s="14"/>
      <c r="D320" s="17"/>
      <c r="E320" s="22"/>
      <c r="F320" s="76"/>
      <c r="G320" s="75"/>
      <c r="H320" s="18"/>
      <c r="I320" s="19"/>
    </row>
    <row r="321" spans="2:9" x14ac:dyDescent="0.3">
      <c r="B321" s="53"/>
      <c r="C321" s="14"/>
      <c r="D321" s="17"/>
      <c r="E321" s="22"/>
      <c r="F321" s="75"/>
      <c r="G321" s="75"/>
      <c r="H321" s="20"/>
      <c r="I321" s="21"/>
    </row>
    <row r="322" spans="2:9" x14ac:dyDescent="0.3">
      <c r="B322" s="53"/>
      <c r="C322" s="14"/>
      <c r="D322" s="17"/>
      <c r="E322" s="22"/>
      <c r="F322" s="75"/>
      <c r="G322" s="75"/>
      <c r="H322" s="20"/>
      <c r="I322" s="21"/>
    </row>
    <row r="323" spans="2:9" x14ac:dyDescent="0.3">
      <c r="B323" s="53"/>
      <c r="C323" s="14"/>
      <c r="D323" s="17"/>
      <c r="E323" s="22"/>
      <c r="F323" s="75"/>
      <c r="G323" s="75"/>
      <c r="H323" s="20"/>
      <c r="I323" s="21"/>
    </row>
    <row r="324" spans="2:9" x14ac:dyDescent="0.3">
      <c r="B324" s="53"/>
      <c r="C324" s="14"/>
      <c r="D324" s="17"/>
      <c r="E324" s="22"/>
      <c r="F324" s="75"/>
      <c r="G324" s="75"/>
      <c r="H324" s="20"/>
      <c r="I324" s="21"/>
    </row>
    <row r="325" spans="2:9" x14ac:dyDescent="0.3">
      <c r="B325" s="53"/>
      <c r="C325" s="14"/>
      <c r="D325" s="17"/>
      <c r="E325" s="22"/>
      <c r="F325" s="75"/>
      <c r="G325" s="75"/>
      <c r="H325" s="20"/>
      <c r="I325" s="21"/>
    </row>
    <row r="326" spans="2:9" x14ac:dyDescent="0.3">
      <c r="B326" s="53"/>
      <c r="C326" s="14"/>
      <c r="D326" s="17"/>
      <c r="E326" s="22"/>
      <c r="F326" s="75"/>
      <c r="G326" s="75"/>
      <c r="H326" s="20"/>
      <c r="I326" s="21"/>
    </row>
    <row r="327" spans="2:9" x14ac:dyDescent="0.3">
      <c r="B327" s="53"/>
      <c r="C327" s="14"/>
      <c r="D327" s="17"/>
      <c r="E327" s="22"/>
      <c r="F327" s="76"/>
      <c r="G327" s="75"/>
      <c r="H327" s="18"/>
      <c r="I327" s="19"/>
    </row>
    <row r="328" spans="2:9" x14ac:dyDescent="0.3">
      <c r="B328" s="53"/>
      <c r="C328" s="14"/>
      <c r="D328" s="17"/>
      <c r="E328" s="22"/>
      <c r="F328" s="75"/>
      <c r="G328" s="75"/>
      <c r="H328" s="20"/>
      <c r="I328" s="21"/>
    </row>
    <row r="329" spans="2:9" x14ac:dyDescent="0.3">
      <c r="B329" s="53"/>
      <c r="C329" s="14"/>
      <c r="D329" s="17"/>
      <c r="E329" s="22"/>
      <c r="F329" s="75"/>
      <c r="G329" s="75"/>
      <c r="H329" s="20"/>
      <c r="I329" s="21"/>
    </row>
    <row r="330" spans="2:9" x14ac:dyDescent="0.3">
      <c r="B330" s="53"/>
      <c r="C330" s="14"/>
      <c r="D330" s="17"/>
      <c r="E330" s="22"/>
      <c r="F330" s="75"/>
      <c r="G330" s="75"/>
      <c r="H330" s="20"/>
      <c r="I330" s="21"/>
    </row>
    <row r="331" spans="2:9" x14ac:dyDescent="0.3">
      <c r="B331" s="53"/>
      <c r="C331" s="14"/>
      <c r="D331" s="17"/>
      <c r="E331" s="22"/>
      <c r="F331" s="75"/>
      <c r="G331" s="75"/>
      <c r="H331" s="20"/>
      <c r="I331" s="21"/>
    </row>
    <row r="332" spans="2:9" x14ac:dyDescent="0.3">
      <c r="B332" s="53"/>
      <c r="C332" s="14"/>
      <c r="D332" s="17"/>
      <c r="E332" s="22"/>
      <c r="F332" s="75"/>
      <c r="G332" s="75"/>
      <c r="H332" s="20"/>
      <c r="I332" s="21"/>
    </row>
    <row r="333" spans="2:9" x14ac:dyDescent="0.3">
      <c r="B333" s="53"/>
      <c r="C333" s="14"/>
      <c r="D333" s="17"/>
      <c r="E333" s="22"/>
      <c r="F333" s="75"/>
      <c r="G333" s="75"/>
      <c r="H333" s="20"/>
      <c r="I333" s="21"/>
    </row>
    <row r="334" spans="2:9" x14ac:dyDescent="0.3">
      <c r="B334" s="53"/>
      <c r="C334" s="14"/>
      <c r="D334" s="17"/>
      <c r="E334" s="22"/>
      <c r="F334" s="75"/>
      <c r="G334" s="75"/>
      <c r="H334" s="20"/>
      <c r="I334" s="21"/>
    </row>
    <row r="335" spans="2:9" x14ac:dyDescent="0.3">
      <c r="B335" s="53"/>
      <c r="C335" s="14"/>
      <c r="D335" s="17"/>
      <c r="E335" s="22"/>
      <c r="F335" s="75"/>
      <c r="G335" s="75"/>
      <c r="H335" s="20"/>
      <c r="I335" s="21"/>
    </row>
    <row r="336" spans="2:9" x14ac:dyDescent="0.3">
      <c r="B336" s="53"/>
      <c r="C336" s="14"/>
      <c r="D336" s="17"/>
      <c r="E336" s="22"/>
      <c r="F336" s="75"/>
      <c r="G336" s="75"/>
      <c r="H336" s="20"/>
      <c r="I336" s="21"/>
    </row>
    <row r="337" spans="2:9" x14ac:dyDescent="0.3">
      <c r="B337" s="53"/>
      <c r="C337" s="14"/>
      <c r="D337" s="17"/>
      <c r="E337" s="22"/>
      <c r="F337" s="76"/>
      <c r="G337" s="75"/>
      <c r="H337" s="18"/>
      <c r="I337" s="19"/>
    </row>
    <row r="338" spans="2:9" x14ac:dyDescent="0.3">
      <c r="B338" s="53"/>
      <c r="C338" s="14"/>
      <c r="D338" s="17"/>
      <c r="E338" s="22"/>
      <c r="F338" s="75"/>
      <c r="G338" s="75"/>
      <c r="H338" s="20"/>
      <c r="I338" s="21"/>
    </row>
    <row r="339" spans="2:9" x14ac:dyDescent="0.3">
      <c r="B339" s="53"/>
      <c r="C339" s="14"/>
      <c r="D339" s="17"/>
      <c r="E339" s="22"/>
      <c r="F339" s="75"/>
      <c r="G339" s="75"/>
      <c r="H339" s="20"/>
      <c r="I339" s="21"/>
    </row>
    <row r="340" spans="2:9" x14ac:dyDescent="0.3">
      <c r="B340" s="53"/>
      <c r="C340" s="14"/>
      <c r="D340" s="17"/>
      <c r="E340" s="22"/>
      <c r="F340" s="75"/>
      <c r="G340" s="75"/>
      <c r="H340" s="20"/>
      <c r="I340" s="21"/>
    </row>
    <row r="341" spans="2:9" x14ac:dyDescent="0.3">
      <c r="B341" s="54"/>
      <c r="C341" s="16"/>
      <c r="D341" s="17"/>
      <c r="E341" s="22"/>
      <c r="F341" s="75"/>
      <c r="G341" s="75"/>
      <c r="H341" s="20"/>
      <c r="I341" s="21"/>
    </row>
    <row r="342" spans="2:9" x14ac:dyDescent="0.3">
      <c r="B342" s="53"/>
      <c r="C342" s="14"/>
      <c r="D342" s="17"/>
      <c r="E342" s="22"/>
      <c r="F342" s="75"/>
      <c r="G342" s="75"/>
      <c r="H342" s="20"/>
      <c r="I342" s="21"/>
    </row>
    <row r="343" spans="2:9" x14ac:dyDescent="0.3">
      <c r="B343" s="53"/>
      <c r="C343" s="14"/>
      <c r="D343" s="17"/>
      <c r="E343" s="22"/>
      <c r="F343" s="75"/>
      <c r="G343" s="75"/>
      <c r="H343" s="20"/>
      <c r="I343" s="21"/>
    </row>
    <row r="344" spans="2:9" x14ac:dyDescent="0.3">
      <c r="B344" s="53"/>
      <c r="C344" s="14"/>
      <c r="D344" s="17"/>
      <c r="E344" s="22"/>
      <c r="F344" s="77"/>
      <c r="G344" s="78"/>
      <c r="H344" s="23"/>
      <c r="I344" s="24"/>
    </row>
    <row r="345" spans="2:9" x14ac:dyDescent="0.3">
      <c r="B345" s="53"/>
      <c r="C345" s="14"/>
      <c r="D345" s="17"/>
      <c r="E345" s="22"/>
      <c r="F345" s="75"/>
      <c r="G345" s="75"/>
      <c r="H345" s="20"/>
      <c r="I345" s="21"/>
    </row>
    <row r="346" spans="2:9" x14ac:dyDescent="0.3">
      <c r="B346" s="53"/>
      <c r="C346" s="14"/>
      <c r="D346" s="17"/>
      <c r="E346" s="22"/>
      <c r="F346" s="75"/>
      <c r="G346" s="75"/>
      <c r="H346" s="20"/>
      <c r="I346" s="21"/>
    </row>
    <row r="347" spans="2:9" x14ac:dyDescent="0.3">
      <c r="B347" s="53"/>
      <c r="C347" s="14"/>
      <c r="D347" s="17"/>
      <c r="E347" s="22"/>
      <c r="F347" s="75"/>
      <c r="G347" s="75"/>
      <c r="H347" s="20"/>
      <c r="I347" s="21"/>
    </row>
    <row r="348" spans="2:9" x14ac:dyDescent="0.3">
      <c r="B348" s="53"/>
      <c r="C348" s="14"/>
      <c r="D348" s="17"/>
      <c r="E348" s="22"/>
      <c r="F348" s="75"/>
      <c r="G348" s="75"/>
      <c r="H348" s="20"/>
      <c r="I348" s="21"/>
    </row>
    <row r="349" spans="2:9" x14ac:dyDescent="0.3">
      <c r="B349" s="54"/>
      <c r="C349" s="16"/>
      <c r="D349" s="17"/>
      <c r="E349" s="22"/>
      <c r="F349" s="76"/>
      <c r="G349" s="75"/>
      <c r="H349" s="18"/>
      <c r="I349" s="19"/>
    </row>
    <row r="350" spans="2:9" x14ac:dyDescent="0.3">
      <c r="B350" s="53"/>
      <c r="C350" s="14"/>
      <c r="D350" s="17"/>
      <c r="E350" s="22"/>
      <c r="F350" s="75"/>
      <c r="G350" s="75"/>
      <c r="H350" s="20"/>
      <c r="I350" s="21"/>
    </row>
    <row r="351" spans="2:9" x14ac:dyDescent="0.3">
      <c r="B351" s="53"/>
      <c r="C351" s="14"/>
      <c r="D351" s="17"/>
      <c r="E351" s="22"/>
      <c r="F351" s="75"/>
      <c r="G351" s="75"/>
      <c r="H351" s="20"/>
      <c r="I351" s="21"/>
    </row>
    <row r="352" spans="2:9" x14ac:dyDescent="0.3">
      <c r="B352" s="53"/>
      <c r="C352" s="14"/>
      <c r="D352" s="17"/>
      <c r="E352" s="22"/>
      <c r="F352" s="75"/>
      <c r="G352" s="75"/>
      <c r="H352" s="20"/>
      <c r="I352" s="21"/>
    </row>
    <row r="353" spans="2:9" x14ac:dyDescent="0.3">
      <c r="B353" s="53"/>
      <c r="C353" s="14"/>
      <c r="D353" s="17"/>
      <c r="E353" s="22"/>
      <c r="F353" s="75"/>
      <c r="G353" s="75"/>
      <c r="H353" s="20"/>
      <c r="I353" s="21"/>
    </row>
    <row r="354" spans="2:9" x14ac:dyDescent="0.3">
      <c r="B354" s="53"/>
      <c r="C354" s="14"/>
      <c r="D354" s="17"/>
      <c r="E354" s="22"/>
      <c r="F354" s="75"/>
      <c r="G354" s="75"/>
      <c r="H354" s="20"/>
      <c r="I354" s="21"/>
    </row>
    <row r="355" spans="2:9" x14ac:dyDescent="0.3">
      <c r="B355" s="55"/>
      <c r="C355" s="83"/>
      <c r="D355" s="17"/>
      <c r="E355" s="22"/>
      <c r="F355" s="76"/>
      <c r="G355" s="75"/>
      <c r="H355" s="18"/>
      <c r="I355" s="19"/>
    </row>
    <row r="356" spans="2:9" x14ac:dyDescent="0.3">
      <c r="B356" s="53"/>
      <c r="C356" s="14"/>
      <c r="D356" s="17"/>
      <c r="E356" s="22"/>
      <c r="F356" s="75"/>
      <c r="G356" s="75"/>
      <c r="H356" s="20"/>
      <c r="I356" s="21"/>
    </row>
    <row r="357" spans="2:9" x14ac:dyDescent="0.3">
      <c r="B357" s="53"/>
      <c r="C357" s="14"/>
      <c r="D357" s="17"/>
      <c r="E357" s="22"/>
      <c r="F357" s="75"/>
      <c r="G357" s="75"/>
      <c r="H357" s="20"/>
      <c r="I357" s="21"/>
    </row>
    <row r="358" spans="2:9" x14ac:dyDescent="0.3">
      <c r="B358" s="53"/>
      <c r="C358" s="14"/>
      <c r="D358" s="17"/>
      <c r="E358" s="22"/>
      <c r="F358" s="75"/>
      <c r="G358" s="75"/>
      <c r="H358" s="20"/>
      <c r="I358" s="21"/>
    </row>
    <row r="359" spans="2:9" x14ac:dyDescent="0.3">
      <c r="B359" s="54"/>
      <c r="C359" s="16"/>
      <c r="D359" s="17"/>
      <c r="E359" s="22"/>
      <c r="F359" s="75"/>
      <c r="G359" s="75"/>
      <c r="H359" s="20"/>
      <c r="I359" s="21"/>
    </row>
    <row r="360" spans="2:9" x14ac:dyDescent="0.3">
      <c r="B360" s="52"/>
      <c r="C360" s="16"/>
      <c r="D360" s="17"/>
      <c r="E360" s="22"/>
      <c r="F360" s="75"/>
      <c r="G360" s="75"/>
      <c r="H360" s="20"/>
      <c r="I360" s="21"/>
    </row>
    <row r="361" spans="2:9" x14ac:dyDescent="0.3">
      <c r="B361" s="53"/>
      <c r="C361" s="14"/>
      <c r="D361" s="17"/>
      <c r="E361" s="22"/>
      <c r="F361" s="76"/>
      <c r="G361" s="75"/>
      <c r="H361" s="18"/>
      <c r="I361" s="19"/>
    </row>
    <row r="362" spans="2:9" x14ac:dyDescent="0.3">
      <c r="B362" s="53"/>
      <c r="C362" s="14"/>
      <c r="D362" s="17"/>
      <c r="E362" s="22"/>
      <c r="F362" s="75"/>
      <c r="G362" s="75"/>
      <c r="H362" s="20"/>
      <c r="I362" s="21"/>
    </row>
    <row r="363" spans="2:9" x14ac:dyDescent="0.3">
      <c r="B363" s="52"/>
      <c r="C363" s="16"/>
      <c r="D363" s="17"/>
      <c r="E363" s="22"/>
      <c r="F363" s="75"/>
      <c r="G363" s="75"/>
      <c r="H363" s="20"/>
      <c r="I363" s="21"/>
    </row>
    <row r="364" spans="2:9" x14ac:dyDescent="0.3">
      <c r="B364" s="53"/>
      <c r="C364" s="14"/>
      <c r="D364" s="17"/>
      <c r="E364" s="22"/>
      <c r="F364" s="75"/>
      <c r="G364" s="75"/>
      <c r="H364" s="20"/>
      <c r="I364" s="21"/>
    </row>
    <row r="365" spans="2:9" x14ac:dyDescent="0.3">
      <c r="B365" s="53"/>
      <c r="C365" s="14"/>
      <c r="D365" s="17"/>
      <c r="E365" s="22"/>
      <c r="F365" s="76"/>
      <c r="G365" s="75"/>
      <c r="H365" s="18"/>
      <c r="I365" s="19"/>
    </row>
    <row r="366" spans="2:9" x14ac:dyDescent="0.3">
      <c r="B366" s="53"/>
      <c r="C366" s="14"/>
      <c r="D366" s="17"/>
      <c r="E366" s="22"/>
      <c r="F366" s="75"/>
      <c r="G366" s="75"/>
      <c r="H366" s="20"/>
      <c r="I366" s="21"/>
    </row>
    <row r="367" spans="2:9" x14ac:dyDescent="0.3">
      <c r="B367" s="53"/>
      <c r="C367" s="14"/>
      <c r="D367" s="17"/>
      <c r="E367" s="22"/>
      <c r="F367" s="75"/>
      <c r="G367" s="75"/>
      <c r="H367" s="20"/>
      <c r="I367" s="21"/>
    </row>
    <row r="368" spans="2:9" x14ac:dyDescent="0.3">
      <c r="B368" s="53"/>
      <c r="C368" s="14"/>
      <c r="D368" s="17"/>
      <c r="E368" s="22"/>
      <c r="F368" s="75"/>
      <c r="G368" s="75"/>
      <c r="H368" s="20"/>
      <c r="I368" s="21"/>
    </row>
    <row r="369" spans="2:9" x14ac:dyDescent="0.3">
      <c r="B369" s="52"/>
      <c r="C369" s="16"/>
      <c r="D369" s="17"/>
      <c r="E369" s="22"/>
      <c r="F369" s="76"/>
      <c r="G369" s="75"/>
      <c r="H369" s="18"/>
      <c r="I369" s="19"/>
    </row>
    <row r="370" spans="2:9" x14ac:dyDescent="0.3">
      <c r="B370" s="53"/>
      <c r="C370" s="14"/>
      <c r="D370" s="17"/>
      <c r="E370" s="22"/>
      <c r="F370" s="75"/>
      <c r="G370" s="75"/>
      <c r="H370" s="20"/>
      <c r="I370" s="21"/>
    </row>
    <row r="371" spans="2:9" x14ac:dyDescent="0.3">
      <c r="B371" s="53"/>
      <c r="C371" s="14"/>
      <c r="D371" s="17"/>
      <c r="E371" s="22"/>
      <c r="F371" s="75"/>
      <c r="G371" s="75"/>
      <c r="H371" s="20"/>
      <c r="I371" s="21"/>
    </row>
    <row r="372" spans="2:9" x14ac:dyDescent="0.3">
      <c r="B372" s="52"/>
      <c r="C372" s="16"/>
      <c r="D372" s="17"/>
      <c r="E372" s="22"/>
      <c r="F372" s="75"/>
      <c r="G372" s="75"/>
      <c r="H372" s="20"/>
      <c r="I372" s="21"/>
    </row>
    <row r="373" spans="2:9" x14ac:dyDescent="0.3">
      <c r="B373" s="53"/>
      <c r="C373" s="14"/>
      <c r="D373" s="17"/>
      <c r="E373" s="22"/>
      <c r="F373" s="75"/>
      <c r="G373" s="75"/>
      <c r="H373" s="20"/>
      <c r="I373" s="21"/>
    </row>
    <row r="374" spans="2:9" x14ac:dyDescent="0.3">
      <c r="B374" s="53"/>
      <c r="C374" s="14"/>
      <c r="D374" s="17"/>
      <c r="E374" s="22"/>
      <c r="F374" s="75"/>
      <c r="G374" s="75"/>
      <c r="H374" s="20"/>
      <c r="I374" s="21"/>
    </row>
    <row r="375" spans="2:9" x14ac:dyDescent="0.3">
      <c r="B375" s="53"/>
      <c r="C375" s="14"/>
      <c r="D375" s="17"/>
      <c r="E375" s="22"/>
      <c r="F375" s="75"/>
      <c r="G375" s="75"/>
      <c r="H375" s="20"/>
      <c r="I375" s="21"/>
    </row>
    <row r="376" spans="2:9" x14ac:dyDescent="0.3">
      <c r="B376" s="53"/>
      <c r="C376" s="14"/>
      <c r="D376" s="17"/>
      <c r="E376" s="22"/>
      <c r="F376" s="75"/>
      <c r="G376" s="75"/>
      <c r="H376" s="20"/>
      <c r="I376" s="21"/>
    </row>
    <row r="377" spans="2:9" x14ac:dyDescent="0.3">
      <c r="B377" s="53"/>
      <c r="C377" s="14"/>
      <c r="D377" s="17"/>
      <c r="E377" s="22"/>
      <c r="F377" s="75"/>
      <c r="G377" s="75"/>
      <c r="H377" s="20"/>
      <c r="I377" s="21"/>
    </row>
    <row r="378" spans="2:9" x14ac:dyDescent="0.3">
      <c r="B378" s="53"/>
      <c r="C378" s="14"/>
      <c r="D378" s="17"/>
      <c r="E378" s="22"/>
      <c r="F378" s="75"/>
      <c r="G378" s="75"/>
      <c r="H378" s="20"/>
      <c r="I378" s="21"/>
    </row>
    <row r="379" spans="2:9" x14ac:dyDescent="0.3">
      <c r="B379" s="53"/>
      <c r="C379" s="14"/>
      <c r="D379" s="17"/>
      <c r="E379" s="22"/>
      <c r="F379" s="75"/>
      <c r="G379" s="75"/>
      <c r="H379" s="20"/>
      <c r="I379" s="21"/>
    </row>
    <row r="380" spans="2:9" x14ac:dyDescent="0.3">
      <c r="B380" s="53"/>
      <c r="C380" s="14"/>
      <c r="D380" s="17"/>
      <c r="E380" s="22"/>
      <c r="F380" s="76"/>
      <c r="G380" s="75"/>
      <c r="H380" s="18"/>
      <c r="I380" s="19"/>
    </row>
    <row r="381" spans="2:9" x14ac:dyDescent="0.3">
      <c r="B381" s="53"/>
      <c r="C381" s="14"/>
      <c r="D381" s="17"/>
      <c r="E381" s="22"/>
      <c r="F381" s="75"/>
      <c r="G381" s="75"/>
      <c r="H381" s="20"/>
      <c r="I381" s="21"/>
    </row>
    <row r="382" spans="2:9" x14ac:dyDescent="0.3">
      <c r="B382" s="53"/>
      <c r="C382" s="14"/>
      <c r="D382" s="17"/>
      <c r="E382" s="22"/>
      <c r="F382" s="75"/>
      <c r="G382" s="75"/>
      <c r="H382" s="20"/>
      <c r="I382" s="21"/>
    </row>
    <row r="383" spans="2:9" x14ac:dyDescent="0.3">
      <c r="B383" s="53"/>
      <c r="C383" s="14"/>
      <c r="D383" s="17"/>
      <c r="E383" s="22"/>
      <c r="F383" s="75"/>
      <c r="G383" s="75"/>
      <c r="H383" s="20"/>
      <c r="I383" s="21"/>
    </row>
    <row r="384" spans="2:9" x14ac:dyDescent="0.3">
      <c r="B384" s="53"/>
      <c r="C384" s="14"/>
      <c r="D384" s="17"/>
      <c r="E384" s="22"/>
      <c r="F384" s="75"/>
      <c r="G384" s="75"/>
      <c r="H384" s="20"/>
      <c r="I384" s="21"/>
    </row>
    <row r="385" spans="2:9" x14ac:dyDescent="0.3">
      <c r="B385" s="53"/>
      <c r="C385" s="14"/>
      <c r="D385" s="17"/>
      <c r="E385" s="22"/>
      <c r="F385" s="75"/>
      <c r="G385" s="75"/>
      <c r="H385" s="20"/>
      <c r="I385" s="21"/>
    </row>
    <row r="386" spans="2:9" x14ac:dyDescent="0.3">
      <c r="B386" s="53"/>
      <c r="C386" s="14"/>
      <c r="D386" s="17"/>
      <c r="E386" s="22"/>
      <c r="F386" s="75"/>
      <c r="G386" s="75"/>
      <c r="H386" s="20"/>
      <c r="I386" s="21"/>
    </row>
    <row r="387" spans="2:9" x14ac:dyDescent="0.3">
      <c r="B387" s="53"/>
      <c r="C387" s="14"/>
      <c r="D387" s="17"/>
      <c r="E387" s="22"/>
      <c r="F387" s="75"/>
      <c r="G387" s="75"/>
      <c r="H387" s="20"/>
      <c r="I387" s="21"/>
    </row>
    <row r="388" spans="2:9" x14ac:dyDescent="0.3">
      <c r="B388" s="53"/>
      <c r="C388" s="14"/>
      <c r="D388" s="17"/>
      <c r="E388" s="22"/>
      <c r="F388" s="75"/>
      <c r="G388" s="75"/>
      <c r="H388" s="20"/>
      <c r="I388" s="21"/>
    </row>
    <row r="389" spans="2:9" x14ac:dyDescent="0.3">
      <c r="B389" s="53"/>
      <c r="C389" s="14"/>
      <c r="D389" s="17"/>
      <c r="E389" s="22"/>
      <c r="F389" s="75"/>
      <c r="G389" s="75"/>
      <c r="H389" s="20"/>
      <c r="I389" s="21"/>
    </row>
    <row r="390" spans="2:9" x14ac:dyDescent="0.3">
      <c r="B390" s="53"/>
      <c r="C390" s="14"/>
      <c r="D390" s="17"/>
      <c r="E390" s="22"/>
      <c r="F390" s="75"/>
      <c r="G390" s="75"/>
      <c r="H390" s="20"/>
      <c r="I390" s="21"/>
    </row>
    <row r="391" spans="2:9" x14ac:dyDescent="0.3">
      <c r="B391" s="53"/>
      <c r="C391" s="14"/>
      <c r="D391" s="17"/>
      <c r="E391" s="22"/>
      <c r="F391" s="75"/>
      <c r="G391" s="75"/>
      <c r="H391" s="20"/>
      <c r="I391" s="21"/>
    </row>
    <row r="392" spans="2:9" x14ac:dyDescent="0.3">
      <c r="B392" s="53"/>
      <c r="C392" s="14"/>
      <c r="D392" s="17"/>
      <c r="E392" s="22"/>
      <c r="F392" s="75"/>
      <c r="G392" s="75"/>
      <c r="H392" s="20"/>
      <c r="I392" s="21"/>
    </row>
    <row r="393" spans="2:9" x14ac:dyDescent="0.3">
      <c r="B393" s="53"/>
      <c r="C393" s="14"/>
      <c r="D393" s="17"/>
      <c r="E393" s="22"/>
      <c r="F393" s="75"/>
      <c r="G393" s="75"/>
      <c r="H393" s="20"/>
      <c r="I393" s="21"/>
    </row>
    <row r="394" spans="2:9" x14ac:dyDescent="0.3">
      <c r="B394" s="53"/>
      <c r="C394" s="14"/>
      <c r="D394" s="17"/>
      <c r="E394" s="22"/>
      <c r="F394" s="75"/>
      <c r="G394" s="75"/>
      <c r="H394" s="20"/>
      <c r="I394" s="21"/>
    </row>
    <row r="395" spans="2:9" x14ac:dyDescent="0.3">
      <c r="B395" s="53"/>
      <c r="C395" s="14"/>
      <c r="D395" s="17"/>
      <c r="E395" s="22"/>
      <c r="F395" s="75"/>
      <c r="G395" s="75"/>
      <c r="H395" s="20"/>
      <c r="I395" s="21"/>
    </row>
    <row r="396" spans="2:9" x14ac:dyDescent="0.3">
      <c r="B396" s="53"/>
      <c r="C396" s="14"/>
      <c r="D396" s="17"/>
      <c r="E396" s="22"/>
      <c r="F396" s="75"/>
      <c r="G396" s="75"/>
      <c r="H396" s="20"/>
      <c r="I396" s="21"/>
    </row>
    <row r="397" spans="2:9" x14ac:dyDescent="0.3">
      <c r="B397" s="53"/>
      <c r="C397" s="14"/>
      <c r="D397" s="17"/>
      <c r="E397" s="22"/>
      <c r="F397" s="75"/>
      <c r="G397" s="75"/>
      <c r="H397" s="20"/>
      <c r="I397" s="21"/>
    </row>
    <row r="398" spans="2:9" x14ac:dyDescent="0.3">
      <c r="B398" s="53"/>
      <c r="C398" s="14"/>
      <c r="D398" s="17"/>
      <c r="E398" s="22"/>
      <c r="F398" s="75"/>
      <c r="G398" s="75"/>
      <c r="H398" s="20"/>
      <c r="I398" s="21"/>
    </row>
    <row r="399" spans="2:9" x14ac:dyDescent="0.3">
      <c r="B399" s="53"/>
      <c r="C399" s="14"/>
      <c r="D399" s="17"/>
      <c r="E399" s="22"/>
      <c r="F399" s="75"/>
      <c r="G399" s="75"/>
      <c r="H399" s="20"/>
      <c r="I399" s="21"/>
    </row>
    <row r="400" spans="2:9" x14ac:dyDescent="0.3">
      <c r="B400" s="53"/>
      <c r="C400" s="14"/>
      <c r="D400" s="17"/>
      <c r="E400" s="22"/>
      <c r="F400" s="75"/>
      <c r="G400" s="75"/>
      <c r="H400" s="20"/>
      <c r="I400" s="21"/>
    </row>
    <row r="401" spans="2:9" x14ac:dyDescent="0.3">
      <c r="B401" s="54"/>
      <c r="C401" s="16"/>
      <c r="D401" s="17"/>
      <c r="E401" s="22"/>
      <c r="F401" s="75"/>
      <c r="G401" s="75"/>
      <c r="H401" s="20"/>
      <c r="I401" s="21"/>
    </row>
    <row r="402" spans="2:9" x14ac:dyDescent="0.3">
      <c r="B402" s="53"/>
      <c r="C402" s="14"/>
      <c r="D402" s="17"/>
      <c r="E402" s="22"/>
      <c r="F402" s="75"/>
      <c r="G402" s="75"/>
      <c r="H402" s="20"/>
      <c r="I402" s="21"/>
    </row>
    <row r="403" spans="2:9" x14ac:dyDescent="0.3">
      <c r="B403" s="53"/>
      <c r="C403" s="14"/>
      <c r="D403" s="17"/>
      <c r="E403" s="22"/>
      <c r="F403" s="75"/>
      <c r="G403" s="75"/>
      <c r="H403" s="20"/>
      <c r="I403" s="21"/>
    </row>
    <row r="404" spans="2:9" x14ac:dyDescent="0.3">
      <c r="B404" s="52"/>
      <c r="C404" s="16"/>
      <c r="D404" s="17"/>
      <c r="E404" s="22"/>
      <c r="F404" s="75"/>
      <c r="G404" s="75"/>
      <c r="H404" s="20"/>
      <c r="I404" s="21"/>
    </row>
    <row r="405" spans="2:9" x14ac:dyDescent="0.3">
      <c r="B405" s="53"/>
      <c r="C405" s="14"/>
      <c r="D405" s="17"/>
      <c r="E405" s="22"/>
      <c r="F405" s="75"/>
      <c r="G405" s="75"/>
      <c r="H405" s="20"/>
      <c r="I405" s="21"/>
    </row>
    <row r="406" spans="2:9" x14ac:dyDescent="0.3">
      <c r="B406" s="53"/>
      <c r="C406" s="14"/>
      <c r="D406" s="17"/>
      <c r="E406" s="22"/>
      <c r="F406" s="75"/>
      <c r="G406" s="75"/>
      <c r="H406" s="20"/>
      <c r="I406" s="21"/>
    </row>
    <row r="407" spans="2:9" x14ac:dyDescent="0.3">
      <c r="B407" s="53"/>
      <c r="C407" s="14"/>
      <c r="D407" s="17"/>
      <c r="E407" s="22"/>
      <c r="F407" s="75"/>
      <c r="G407" s="75"/>
      <c r="H407" s="20"/>
      <c r="I407" s="21"/>
    </row>
    <row r="408" spans="2:9" x14ac:dyDescent="0.3">
      <c r="B408" s="54"/>
      <c r="C408" s="16"/>
      <c r="D408" s="17"/>
      <c r="E408" s="22"/>
      <c r="F408" s="75"/>
      <c r="G408" s="75"/>
      <c r="H408" s="20"/>
      <c r="I408" s="21"/>
    </row>
    <row r="409" spans="2:9" x14ac:dyDescent="0.3">
      <c r="B409" s="53"/>
      <c r="C409" s="14"/>
      <c r="D409" s="17"/>
      <c r="E409" s="22"/>
      <c r="F409" s="75"/>
      <c r="G409" s="75"/>
      <c r="H409" s="20"/>
      <c r="I409" s="21"/>
    </row>
    <row r="410" spans="2:9" x14ac:dyDescent="0.3">
      <c r="B410" s="53"/>
      <c r="C410" s="14"/>
      <c r="D410" s="17"/>
      <c r="E410" s="22"/>
      <c r="F410" s="75"/>
      <c r="G410" s="75"/>
      <c r="H410" s="20"/>
      <c r="I410" s="21"/>
    </row>
    <row r="411" spans="2:9" x14ac:dyDescent="0.3">
      <c r="B411" s="53"/>
      <c r="C411" s="14"/>
      <c r="D411" s="17"/>
      <c r="E411" s="22"/>
      <c r="F411" s="75"/>
      <c r="G411" s="75"/>
      <c r="H411" s="20"/>
      <c r="I411" s="21"/>
    </row>
    <row r="412" spans="2:9" x14ac:dyDescent="0.3">
      <c r="B412" s="53"/>
      <c r="C412" s="14"/>
      <c r="D412" s="17"/>
      <c r="E412" s="22"/>
      <c r="F412" s="75"/>
      <c r="G412" s="75"/>
      <c r="H412" s="20"/>
      <c r="I412" s="21"/>
    </row>
    <row r="413" spans="2:9" x14ac:dyDescent="0.3">
      <c r="B413" s="53"/>
      <c r="C413" s="14"/>
      <c r="D413" s="17"/>
      <c r="E413" s="22"/>
      <c r="F413" s="75"/>
      <c r="G413" s="75"/>
      <c r="H413" s="20"/>
      <c r="I413" s="21"/>
    </row>
    <row r="414" spans="2:9" x14ac:dyDescent="0.3">
      <c r="B414" s="53"/>
      <c r="C414" s="14"/>
      <c r="D414" s="17"/>
      <c r="E414" s="22"/>
      <c r="F414" s="75"/>
      <c r="G414" s="75"/>
      <c r="H414" s="20"/>
      <c r="I414" s="21"/>
    </row>
    <row r="415" spans="2:9" x14ac:dyDescent="0.3">
      <c r="B415" s="54"/>
      <c r="C415" s="16"/>
      <c r="D415" s="17"/>
      <c r="E415" s="22"/>
      <c r="F415" s="75"/>
      <c r="G415" s="75"/>
      <c r="H415" s="20"/>
      <c r="I415" s="21"/>
    </row>
    <row r="416" spans="2:9" x14ac:dyDescent="0.3">
      <c r="B416" s="53"/>
      <c r="C416" s="14"/>
      <c r="D416" s="17"/>
      <c r="E416" s="22"/>
      <c r="F416" s="75"/>
      <c r="G416" s="75"/>
      <c r="H416" s="20"/>
      <c r="I416" s="21"/>
    </row>
    <row r="417" spans="2:9" x14ac:dyDescent="0.3">
      <c r="B417" s="53"/>
      <c r="C417" s="14"/>
      <c r="D417" s="17"/>
      <c r="E417" s="22"/>
      <c r="F417" s="75"/>
      <c r="G417" s="75"/>
      <c r="H417" s="20"/>
      <c r="I417" s="21"/>
    </row>
    <row r="418" spans="2:9" x14ac:dyDescent="0.3">
      <c r="B418" s="53"/>
      <c r="C418" s="14"/>
      <c r="D418" s="17"/>
      <c r="E418" s="22"/>
      <c r="F418" s="75"/>
      <c r="G418" s="75"/>
      <c r="H418" s="20"/>
      <c r="I418" s="21"/>
    </row>
    <row r="419" spans="2:9" x14ac:dyDescent="0.3">
      <c r="B419" s="53"/>
      <c r="C419" s="14"/>
      <c r="D419" s="17"/>
      <c r="E419" s="22"/>
      <c r="F419" s="75"/>
      <c r="G419" s="75"/>
      <c r="H419" s="20"/>
      <c r="I419" s="21"/>
    </row>
    <row r="420" spans="2:9" x14ac:dyDescent="0.3">
      <c r="B420" s="53"/>
      <c r="C420" s="14"/>
      <c r="D420" s="17"/>
      <c r="E420" s="22"/>
      <c r="F420" s="75"/>
      <c r="G420" s="75"/>
      <c r="H420" s="20"/>
      <c r="I420" s="21"/>
    </row>
    <row r="421" spans="2:9" x14ac:dyDescent="0.3">
      <c r="B421" s="53"/>
      <c r="C421" s="14"/>
      <c r="D421" s="17"/>
      <c r="E421" s="22"/>
      <c r="F421" s="75"/>
      <c r="G421" s="75"/>
      <c r="H421" s="20"/>
      <c r="I421" s="21"/>
    </row>
    <row r="422" spans="2:9" x14ac:dyDescent="0.3">
      <c r="B422" s="53"/>
      <c r="C422" s="14"/>
      <c r="D422" s="17"/>
      <c r="E422" s="22"/>
      <c r="F422" s="75"/>
      <c r="G422" s="75"/>
      <c r="H422" s="20"/>
      <c r="I422" s="21"/>
    </row>
    <row r="423" spans="2:9" x14ac:dyDescent="0.3">
      <c r="B423" s="53"/>
      <c r="C423" s="14"/>
      <c r="D423" s="17"/>
      <c r="E423" s="22"/>
      <c r="F423" s="75"/>
      <c r="G423" s="75"/>
      <c r="H423" s="20"/>
      <c r="I423" s="21"/>
    </row>
    <row r="424" spans="2:9" x14ac:dyDescent="0.3">
      <c r="B424" s="53"/>
      <c r="C424" s="14"/>
      <c r="D424" s="17"/>
      <c r="E424" s="22"/>
      <c r="F424" s="75"/>
      <c r="G424" s="75"/>
      <c r="H424" s="20"/>
      <c r="I424" s="21"/>
    </row>
    <row r="425" spans="2:9" x14ac:dyDescent="0.3">
      <c r="B425" s="54"/>
      <c r="C425" s="16"/>
      <c r="D425" s="17"/>
      <c r="E425" s="22"/>
      <c r="F425" s="75"/>
      <c r="G425" s="75"/>
      <c r="H425" s="20"/>
      <c r="I425" s="21"/>
    </row>
    <row r="426" spans="2:9" x14ac:dyDescent="0.3">
      <c r="B426" s="53"/>
      <c r="C426" s="14"/>
      <c r="D426" s="17"/>
      <c r="E426" s="22"/>
      <c r="F426" s="75"/>
      <c r="G426" s="75"/>
      <c r="H426" s="20"/>
      <c r="I426" s="21"/>
    </row>
    <row r="427" spans="2:9" x14ac:dyDescent="0.3">
      <c r="B427" s="53"/>
      <c r="C427" s="14"/>
      <c r="D427" s="17"/>
      <c r="E427" s="22"/>
      <c r="F427" s="75"/>
      <c r="G427" s="75"/>
      <c r="H427" s="20"/>
      <c r="I427" s="21"/>
    </row>
    <row r="428" spans="2:9" x14ac:dyDescent="0.3">
      <c r="B428" s="53"/>
      <c r="C428" s="14"/>
      <c r="D428" s="17"/>
      <c r="E428" s="22"/>
      <c r="F428" s="75"/>
      <c r="G428" s="75"/>
      <c r="H428" s="20"/>
      <c r="I428" s="21"/>
    </row>
    <row r="429" spans="2:9" x14ac:dyDescent="0.3">
      <c r="B429" s="53"/>
      <c r="C429" s="14"/>
      <c r="D429" s="17"/>
      <c r="E429" s="22"/>
      <c r="F429" s="75"/>
      <c r="G429" s="75"/>
      <c r="H429" s="20"/>
      <c r="I429" s="21"/>
    </row>
    <row r="430" spans="2:9" x14ac:dyDescent="0.3">
      <c r="B430" s="53"/>
      <c r="C430" s="14"/>
      <c r="D430" s="17"/>
      <c r="E430" s="22"/>
      <c r="F430" s="76"/>
      <c r="G430" s="75"/>
      <c r="H430" s="18"/>
      <c r="I430" s="19"/>
    </row>
    <row r="431" spans="2:9" x14ac:dyDescent="0.3">
      <c r="B431" s="53"/>
      <c r="C431" s="14"/>
      <c r="D431" s="17"/>
      <c r="E431" s="22"/>
      <c r="F431" s="75"/>
      <c r="G431" s="75"/>
      <c r="H431" s="20"/>
      <c r="I431" s="21"/>
    </row>
    <row r="432" spans="2:9" x14ac:dyDescent="0.3">
      <c r="B432" s="55"/>
      <c r="C432" s="83"/>
      <c r="D432" s="17"/>
      <c r="E432" s="22"/>
      <c r="F432" s="75"/>
      <c r="G432" s="75"/>
      <c r="H432" s="20"/>
      <c r="I432" s="21"/>
    </row>
    <row r="433" spans="2:9" x14ac:dyDescent="0.3">
      <c r="B433" s="53"/>
      <c r="C433" s="14"/>
      <c r="D433" s="17"/>
      <c r="E433" s="22"/>
      <c r="F433" s="75"/>
      <c r="G433" s="75"/>
      <c r="H433" s="20"/>
      <c r="I433" s="21"/>
    </row>
    <row r="434" spans="2:9" x14ac:dyDescent="0.3">
      <c r="B434" s="53"/>
      <c r="C434" s="14"/>
      <c r="D434" s="17"/>
      <c r="E434" s="22"/>
      <c r="F434" s="75"/>
      <c r="G434" s="75"/>
      <c r="H434" s="20"/>
      <c r="I434" s="21"/>
    </row>
    <row r="435" spans="2:9" x14ac:dyDescent="0.3">
      <c r="B435" s="53"/>
      <c r="C435" s="14"/>
      <c r="D435" s="17"/>
      <c r="E435" s="22"/>
      <c r="F435" s="75"/>
      <c r="G435" s="75"/>
      <c r="H435" s="20"/>
      <c r="I435" s="21"/>
    </row>
    <row r="436" spans="2:9" x14ac:dyDescent="0.3">
      <c r="B436" s="53"/>
      <c r="C436" s="14"/>
      <c r="D436" s="17"/>
      <c r="E436" s="22"/>
      <c r="F436" s="75"/>
      <c r="G436" s="75"/>
      <c r="H436" s="20"/>
      <c r="I436" s="21"/>
    </row>
    <row r="437" spans="2:9" x14ac:dyDescent="0.3">
      <c r="B437" s="54"/>
      <c r="C437" s="16"/>
      <c r="D437" s="17"/>
      <c r="E437" s="22"/>
      <c r="F437" s="75"/>
      <c r="G437" s="75"/>
      <c r="H437" s="20"/>
      <c r="I437" s="21"/>
    </row>
    <row r="438" spans="2:9" x14ac:dyDescent="0.3">
      <c r="B438" s="53"/>
      <c r="C438" s="14"/>
      <c r="D438" s="17"/>
      <c r="E438" s="22"/>
      <c r="F438" s="75"/>
      <c r="G438" s="75"/>
      <c r="H438" s="20"/>
      <c r="I438" s="21"/>
    </row>
    <row r="439" spans="2:9" x14ac:dyDescent="0.3">
      <c r="B439" s="53"/>
      <c r="C439" s="14"/>
      <c r="D439" s="17"/>
      <c r="E439" s="22"/>
      <c r="F439" s="76"/>
      <c r="G439" s="75"/>
      <c r="H439" s="18"/>
      <c r="I439" s="19"/>
    </row>
    <row r="440" spans="2:9" x14ac:dyDescent="0.3">
      <c r="B440" s="53"/>
      <c r="C440" s="14"/>
      <c r="D440" s="17"/>
      <c r="E440" s="22"/>
      <c r="F440" s="75"/>
      <c r="G440" s="75"/>
      <c r="H440" s="20"/>
      <c r="I440" s="21"/>
    </row>
    <row r="441" spans="2:9" x14ac:dyDescent="0.3">
      <c r="B441" s="53"/>
      <c r="C441" s="14"/>
      <c r="D441" s="17"/>
      <c r="E441" s="22"/>
      <c r="F441" s="75"/>
      <c r="G441" s="75"/>
      <c r="H441" s="20"/>
      <c r="I441" s="21"/>
    </row>
    <row r="442" spans="2:9" x14ac:dyDescent="0.3">
      <c r="B442" s="53"/>
      <c r="C442" s="14"/>
      <c r="D442" s="17"/>
      <c r="E442" s="22"/>
      <c r="F442" s="75"/>
      <c r="G442" s="75"/>
      <c r="H442" s="20"/>
      <c r="I442" s="21"/>
    </row>
    <row r="443" spans="2:9" x14ac:dyDescent="0.3">
      <c r="B443" s="54"/>
      <c r="C443" s="16"/>
      <c r="D443" s="17"/>
      <c r="E443" s="22"/>
      <c r="F443" s="75"/>
      <c r="G443" s="75"/>
      <c r="H443" s="20"/>
      <c r="I443" s="21"/>
    </row>
    <row r="444" spans="2:9" x14ac:dyDescent="0.3">
      <c r="B444" s="53"/>
      <c r="C444" s="14"/>
      <c r="D444" s="17"/>
      <c r="E444" s="22"/>
      <c r="F444" s="75"/>
      <c r="G444" s="75"/>
      <c r="H444" s="20"/>
      <c r="I444" s="21"/>
    </row>
    <row r="445" spans="2:9" x14ac:dyDescent="0.3">
      <c r="B445" s="53"/>
      <c r="C445" s="14"/>
      <c r="D445" s="17"/>
      <c r="E445" s="22"/>
      <c r="F445" s="75"/>
      <c r="G445" s="75"/>
      <c r="H445" s="20"/>
      <c r="I445" s="21"/>
    </row>
    <row r="446" spans="2:9" x14ac:dyDescent="0.3">
      <c r="B446" s="53"/>
      <c r="C446" s="14"/>
      <c r="D446" s="17"/>
      <c r="E446" s="22"/>
      <c r="F446" s="75"/>
      <c r="G446" s="75"/>
      <c r="H446" s="20"/>
      <c r="I446" s="21"/>
    </row>
    <row r="447" spans="2:9" x14ac:dyDescent="0.3">
      <c r="B447" s="53"/>
      <c r="C447" s="14"/>
      <c r="D447" s="17"/>
      <c r="E447" s="22"/>
      <c r="F447" s="75"/>
      <c r="G447" s="75"/>
      <c r="H447" s="20"/>
      <c r="I447" s="21"/>
    </row>
    <row r="448" spans="2:9" x14ac:dyDescent="0.3">
      <c r="B448" s="53"/>
      <c r="C448" s="14"/>
      <c r="D448" s="17"/>
      <c r="E448" s="22"/>
      <c r="F448" s="75"/>
      <c r="G448" s="75"/>
      <c r="H448" s="20"/>
      <c r="I448" s="21"/>
    </row>
    <row r="449" spans="2:9" x14ac:dyDescent="0.3">
      <c r="B449" s="54"/>
      <c r="C449" s="16"/>
      <c r="D449" s="17"/>
      <c r="E449" s="22"/>
      <c r="F449" s="75"/>
      <c r="G449" s="75"/>
      <c r="H449" s="20"/>
      <c r="I449" s="21"/>
    </row>
    <row r="450" spans="2:9" x14ac:dyDescent="0.3">
      <c r="B450" s="53"/>
      <c r="C450" s="14"/>
      <c r="D450" s="17"/>
      <c r="E450" s="22"/>
      <c r="F450" s="76"/>
      <c r="G450" s="75"/>
      <c r="H450" s="18"/>
      <c r="I450" s="19"/>
    </row>
    <row r="451" spans="2:9" x14ac:dyDescent="0.3">
      <c r="B451" s="53"/>
      <c r="C451" s="14"/>
      <c r="D451" s="17"/>
      <c r="E451" s="22"/>
      <c r="F451" s="75"/>
      <c r="G451" s="75"/>
      <c r="H451" s="20"/>
      <c r="I451" s="21"/>
    </row>
    <row r="452" spans="2:9" x14ac:dyDescent="0.3">
      <c r="B452" s="53"/>
      <c r="C452" s="14"/>
      <c r="D452" s="17"/>
      <c r="E452" s="22"/>
      <c r="F452" s="75"/>
      <c r="G452" s="75"/>
      <c r="H452" s="20"/>
      <c r="I452" s="21"/>
    </row>
    <row r="453" spans="2:9" x14ac:dyDescent="0.3">
      <c r="B453" s="54"/>
      <c r="C453" s="16"/>
      <c r="D453" s="17"/>
      <c r="E453" s="22"/>
      <c r="F453" s="75"/>
      <c r="G453" s="75"/>
      <c r="H453" s="20"/>
      <c r="I453" s="21"/>
    </row>
    <row r="454" spans="2:9" x14ac:dyDescent="0.3">
      <c r="B454" s="53"/>
      <c r="C454" s="14"/>
      <c r="D454" s="17"/>
      <c r="E454" s="22"/>
      <c r="F454" s="75"/>
      <c r="G454" s="75"/>
      <c r="H454" s="20"/>
      <c r="I454" s="21"/>
    </row>
    <row r="455" spans="2:9" x14ac:dyDescent="0.3">
      <c r="B455" s="53"/>
      <c r="C455" s="14"/>
      <c r="D455" s="17"/>
      <c r="E455" s="22"/>
      <c r="F455" s="75"/>
      <c r="G455" s="75"/>
      <c r="H455" s="20"/>
      <c r="I455" s="21"/>
    </row>
    <row r="456" spans="2:9" x14ac:dyDescent="0.3">
      <c r="B456" s="53"/>
      <c r="C456" s="14"/>
      <c r="D456" s="17"/>
      <c r="E456" s="22"/>
      <c r="F456" s="75"/>
      <c r="G456" s="75"/>
      <c r="H456" s="20"/>
      <c r="I456" s="21"/>
    </row>
    <row r="457" spans="2:9" x14ac:dyDescent="0.3">
      <c r="B457" s="54"/>
      <c r="C457" s="16"/>
      <c r="D457" s="17"/>
      <c r="E457" s="22"/>
      <c r="F457" s="75"/>
      <c r="G457" s="75"/>
      <c r="H457" s="20"/>
      <c r="I457" s="21"/>
    </row>
    <row r="458" spans="2:9" x14ac:dyDescent="0.3">
      <c r="B458" s="53"/>
      <c r="C458" s="14"/>
      <c r="D458" s="17"/>
      <c r="E458" s="22"/>
      <c r="F458" s="75"/>
      <c r="G458" s="75"/>
      <c r="H458" s="20"/>
      <c r="I458" s="21"/>
    </row>
    <row r="459" spans="2:9" x14ac:dyDescent="0.3">
      <c r="B459" s="53"/>
      <c r="C459" s="14"/>
      <c r="D459" s="17"/>
      <c r="E459" s="22"/>
      <c r="F459" s="75"/>
      <c r="G459" s="75"/>
      <c r="H459" s="20"/>
      <c r="I459" s="21"/>
    </row>
    <row r="460" spans="2:9" x14ac:dyDescent="0.3">
      <c r="B460" s="53"/>
      <c r="C460" s="14"/>
      <c r="D460" s="17"/>
      <c r="E460" s="22"/>
      <c r="F460" s="75"/>
      <c r="G460" s="75"/>
      <c r="H460" s="20"/>
      <c r="I460" s="21"/>
    </row>
    <row r="461" spans="2:9" x14ac:dyDescent="0.3">
      <c r="B461" s="53"/>
      <c r="C461" s="14"/>
      <c r="D461" s="17"/>
      <c r="E461" s="22"/>
      <c r="F461" s="75"/>
      <c r="G461" s="75"/>
      <c r="H461" s="20"/>
      <c r="I461" s="21"/>
    </row>
    <row r="462" spans="2:9" x14ac:dyDescent="0.3">
      <c r="B462" s="53"/>
      <c r="C462" s="14"/>
      <c r="D462" s="17"/>
      <c r="E462" s="22"/>
      <c r="F462" s="75"/>
      <c r="G462" s="75"/>
      <c r="H462" s="20"/>
      <c r="I462" s="21"/>
    </row>
    <row r="463" spans="2:9" x14ac:dyDescent="0.3">
      <c r="B463" s="53"/>
      <c r="C463" s="14"/>
      <c r="D463" s="17"/>
      <c r="E463" s="22"/>
      <c r="F463" s="75"/>
      <c r="G463" s="75"/>
      <c r="H463" s="20"/>
      <c r="I463" s="21"/>
    </row>
    <row r="464" spans="2:9" x14ac:dyDescent="0.3">
      <c r="B464" s="53"/>
      <c r="C464" s="14"/>
      <c r="D464" s="17"/>
      <c r="E464" s="22"/>
      <c r="F464" s="75"/>
      <c r="G464" s="75"/>
      <c r="H464" s="20"/>
      <c r="I464" s="21"/>
    </row>
    <row r="465" spans="2:9" x14ac:dyDescent="0.3">
      <c r="B465" s="53"/>
      <c r="C465" s="14"/>
      <c r="D465" s="17"/>
      <c r="E465" s="22"/>
      <c r="F465" s="75"/>
      <c r="G465" s="75"/>
      <c r="H465" s="20"/>
      <c r="I465" s="21"/>
    </row>
    <row r="466" spans="2:9" x14ac:dyDescent="0.3">
      <c r="B466" s="53"/>
      <c r="C466" s="14"/>
      <c r="D466" s="17"/>
      <c r="E466" s="22"/>
      <c r="F466" s="76"/>
      <c r="G466" s="75"/>
      <c r="H466" s="18"/>
      <c r="I466" s="19"/>
    </row>
    <row r="467" spans="2:9" x14ac:dyDescent="0.3">
      <c r="B467" s="53"/>
      <c r="C467" s="14"/>
      <c r="D467" s="17"/>
      <c r="E467" s="22"/>
      <c r="F467" s="75"/>
      <c r="G467" s="75"/>
      <c r="H467" s="20"/>
      <c r="I467" s="21"/>
    </row>
    <row r="468" spans="2:9" x14ac:dyDescent="0.3">
      <c r="B468" s="54"/>
      <c r="C468" s="16"/>
      <c r="D468" s="17"/>
      <c r="E468" s="22"/>
      <c r="F468" s="75"/>
      <c r="G468" s="75"/>
      <c r="H468" s="20"/>
      <c r="I468" s="21"/>
    </row>
    <row r="469" spans="2:9" x14ac:dyDescent="0.3">
      <c r="B469" s="53"/>
      <c r="C469" s="14"/>
      <c r="D469" s="17"/>
      <c r="E469" s="22"/>
      <c r="F469" s="75"/>
      <c r="G469" s="75"/>
      <c r="H469" s="20"/>
      <c r="I469" s="21"/>
    </row>
    <row r="470" spans="2:9" x14ac:dyDescent="0.3">
      <c r="B470" s="53"/>
      <c r="C470" s="14"/>
      <c r="D470" s="17"/>
      <c r="E470" s="22"/>
      <c r="F470" s="75"/>
      <c r="G470" s="75"/>
      <c r="H470" s="20"/>
      <c r="I470" s="21"/>
    </row>
    <row r="471" spans="2:9" x14ac:dyDescent="0.3">
      <c r="B471" s="53"/>
      <c r="C471" s="14"/>
      <c r="D471" s="17"/>
      <c r="E471" s="22"/>
      <c r="F471" s="75"/>
      <c r="G471" s="75"/>
      <c r="H471" s="20"/>
      <c r="I471" s="21"/>
    </row>
    <row r="472" spans="2:9" x14ac:dyDescent="0.3">
      <c r="B472" s="53"/>
      <c r="C472" s="14"/>
      <c r="D472" s="17"/>
      <c r="E472" s="22"/>
      <c r="F472" s="75"/>
      <c r="G472" s="75"/>
      <c r="H472" s="20"/>
      <c r="I472" s="21"/>
    </row>
    <row r="473" spans="2:9" x14ac:dyDescent="0.3">
      <c r="B473" s="53"/>
      <c r="C473" s="14"/>
      <c r="D473" s="17"/>
      <c r="E473" s="22"/>
      <c r="F473" s="75"/>
      <c r="G473" s="75"/>
      <c r="H473" s="20"/>
      <c r="I473" s="21"/>
    </row>
    <row r="474" spans="2:9" x14ac:dyDescent="0.3">
      <c r="B474" s="53"/>
      <c r="C474" s="14"/>
      <c r="D474" s="17"/>
      <c r="E474" s="22"/>
      <c r="F474" s="77"/>
      <c r="G474" s="78"/>
      <c r="H474" s="23"/>
      <c r="I474" s="24"/>
    </row>
    <row r="475" spans="2:9" x14ac:dyDescent="0.3">
      <c r="B475" s="53"/>
      <c r="C475" s="14"/>
      <c r="D475" s="17"/>
      <c r="E475" s="22"/>
      <c r="F475" s="75"/>
      <c r="G475" s="75"/>
      <c r="H475" s="20"/>
      <c r="I475" s="21"/>
    </row>
    <row r="476" spans="2:9" x14ac:dyDescent="0.3">
      <c r="B476" s="53"/>
      <c r="C476" s="14"/>
      <c r="D476" s="17"/>
      <c r="E476" s="22"/>
      <c r="F476" s="75"/>
      <c r="G476" s="75"/>
      <c r="H476" s="20"/>
      <c r="I476" s="21"/>
    </row>
    <row r="477" spans="2:9" x14ac:dyDescent="0.3">
      <c r="B477" s="53"/>
      <c r="C477" s="14"/>
      <c r="D477" s="17"/>
      <c r="E477" s="22"/>
      <c r="F477" s="75"/>
      <c r="G477" s="75"/>
      <c r="H477" s="20"/>
      <c r="I477" s="21"/>
    </row>
    <row r="478" spans="2:9" x14ac:dyDescent="0.3">
      <c r="B478" s="53"/>
      <c r="C478" s="14"/>
      <c r="D478" s="17"/>
      <c r="E478" s="22"/>
      <c r="F478" s="75"/>
      <c r="G478" s="75"/>
      <c r="H478" s="20"/>
      <c r="I478" s="21"/>
    </row>
    <row r="479" spans="2:9" x14ac:dyDescent="0.3">
      <c r="B479" s="53"/>
      <c r="C479" s="14"/>
      <c r="D479" s="17"/>
      <c r="E479" s="22"/>
      <c r="F479" s="75"/>
      <c r="G479" s="75"/>
      <c r="H479" s="20"/>
      <c r="I479" s="21"/>
    </row>
    <row r="480" spans="2:9" x14ac:dyDescent="0.3">
      <c r="B480" s="53"/>
      <c r="C480" s="14"/>
      <c r="D480" s="17"/>
      <c r="E480" s="22"/>
      <c r="F480" s="75"/>
      <c r="G480" s="75"/>
      <c r="H480" s="20"/>
      <c r="I480" s="21"/>
    </row>
    <row r="481" spans="2:9" x14ac:dyDescent="0.3">
      <c r="B481" s="53"/>
      <c r="C481" s="14"/>
      <c r="D481" s="17"/>
      <c r="E481" s="22"/>
      <c r="F481" s="75"/>
      <c r="G481" s="75"/>
      <c r="H481" s="20"/>
      <c r="I481" s="21"/>
    </row>
    <row r="482" spans="2:9" x14ac:dyDescent="0.3">
      <c r="B482" s="53"/>
      <c r="C482" s="14"/>
      <c r="D482" s="17"/>
      <c r="E482" s="22"/>
      <c r="F482" s="75"/>
      <c r="G482" s="75"/>
      <c r="H482" s="20"/>
      <c r="I482" s="21"/>
    </row>
    <row r="483" spans="2:9" x14ac:dyDescent="0.3">
      <c r="B483" s="53"/>
      <c r="C483" s="14"/>
      <c r="D483" s="17"/>
      <c r="E483" s="22"/>
      <c r="F483" s="75"/>
      <c r="G483" s="75"/>
      <c r="H483" s="20"/>
      <c r="I483" s="21"/>
    </row>
    <row r="484" spans="2:9" x14ac:dyDescent="0.3">
      <c r="B484" s="53"/>
      <c r="C484" s="14"/>
      <c r="D484" s="17"/>
      <c r="E484" s="22"/>
      <c r="F484" s="75"/>
      <c r="G484" s="75"/>
      <c r="H484" s="20"/>
      <c r="I484" s="21"/>
    </row>
    <row r="485" spans="2:9" x14ac:dyDescent="0.3">
      <c r="B485" s="53"/>
      <c r="C485" s="14"/>
      <c r="D485" s="17"/>
      <c r="E485" s="22"/>
      <c r="F485" s="75"/>
      <c r="G485" s="75"/>
      <c r="H485" s="20"/>
      <c r="I485" s="21"/>
    </row>
    <row r="486" spans="2:9" x14ac:dyDescent="0.3">
      <c r="B486" s="53"/>
      <c r="C486" s="14"/>
      <c r="D486" s="17"/>
      <c r="E486" s="22"/>
      <c r="F486" s="75"/>
      <c r="G486" s="75"/>
      <c r="H486" s="20"/>
      <c r="I486" s="21"/>
    </row>
    <row r="487" spans="2:9" x14ac:dyDescent="0.3">
      <c r="B487" s="53"/>
      <c r="C487" s="14"/>
      <c r="D487" s="17"/>
      <c r="E487" s="22"/>
      <c r="F487" s="75"/>
      <c r="G487" s="75"/>
      <c r="H487" s="20"/>
      <c r="I487" s="21"/>
    </row>
    <row r="488" spans="2:9" x14ac:dyDescent="0.3">
      <c r="B488" s="53"/>
      <c r="C488" s="14"/>
      <c r="D488" s="17"/>
      <c r="E488" s="22"/>
      <c r="F488" s="75"/>
      <c r="G488" s="75"/>
      <c r="H488" s="20"/>
      <c r="I488" s="21"/>
    </row>
    <row r="489" spans="2:9" x14ac:dyDescent="0.3">
      <c r="B489" s="53"/>
      <c r="C489" s="14"/>
      <c r="D489" s="17"/>
      <c r="E489" s="22"/>
      <c r="F489" s="75"/>
      <c r="G489" s="75"/>
      <c r="H489" s="20"/>
      <c r="I489" s="21"/>
    </row>
    <row r="490" spans="2:9" x14ac:dyDescent="0.3">
      <c r="B490" s="53"/>
      <c r="C490" s="14"/>
      <c r="D490" s="17"/>
      <c r="E490" s="22"/>
      <c r="F490" s="75"/>
      <c r="G490" s="75"/>
      <c r="H490" s="20"/>
      <c r="I490" s="21"/>
    </row>
    <row r="491" spans="2:9" x14ac:dyDescent="0.3">
      <c r="B491" s="53"/>
      <c r="C491" s="14"/>
      <c r="D491" s="17"/>
      <c r="E491" s="22"/>
      <c r="F491" s="75"/>
      <c r="G491" s="75"/>
      <c r="H491" s="20"/>
      <c r="I491" s="21"/>
    </row>
    <row r="492" spans="2:9" x14ac:dyDescent="0.3">
      <c r="B492" s="53"/>
      <c r="C492" s="14"/>
      <c r="D492" s="17"/>
      <c r="E492" s="22"/>
      <c r="F492" s="75"/>
      <c r="G492" s="75"/>
      <c r="H492" s="20"/>
      <c r="I492" s="21"/>
    </row>
    <row r="493" spans="2:9" x14ac:dyDescent="0.3">
      <c r="B493" s="53"/>
      <c r="C493" s="14"/>
      <c r="D493" s="17"/>
      <c r="E493" s="22"/>
      <c r="F493" s="75"/>
      <c r="G493" s="75"/>
      <c r="H493" s="20"/>
      <c r="I493" s="21"/>
    </row>
    <row r="494" spans="2:9" x14ac:dyDescent="0.3">
      <c r="B494" s="53"/>
      <c r="C494" s="14"/>
      <c r="D494" s="17"/>
      <c r="E494" s="22"/>
      <c r="F494" s="75"/>
      <c r="G494" s="75"/>
      <c r="H494" s="20"/>
      <c r="I494" s="21"/>
    </row>
    <row r="495" spans="2:9" x14ac:dyDescent="0.3">
      <c r="B495" s="53"/>
      <c r="C495" s="14"/>
      <c r="D495" s="17"/>
      <c r="E495" s="22"/>
      <c r="F495" s="75"/>
      <c r="G495" s="75"/>
      <c r="H495" s="20"/>
      <c r="I495" s="21"/>
    </row>
    <row r="496" spans="2:9" x14ac:dyDescent="0.3">
      <c r="B496" s="53"/>
      <c r="C496" s="14"/>
      <c r="D496" s="17"/>
      <c r="E496" s="22"/>
      <c r="F496" s="75"/>
      <c r="G496" s="75"/>
      <c r="H496" s="20"/>
      <c r="I496" s="21"/>
    </row>
    <row r="497" spans="2:9" x14ac:dyDescent="0.3">
      <c r="B497" s="53"/>
      <c r="C497" s="14"/>
      <c r="D497" s="17"/>
      <c r="E497" s="22"/>
      <c r="F497" s="77"/>
      <c r="G497" s="78"/>
      <c r="H497" s="23"/>
      <c r="I497" s="24"/>
    </row>
    <row r="498" spans="2:9" x14ac:dyDescent="0.3">
      <c r="B498" s="53"/>
      <c r="C498" s="14"/>
      <c r="D498" s="17"/>
      <c r="E498" s="22"/>
      <c r="F498" s="75"/>
      <c r="G498" s="75"/>
      <c r="H498" s="20"/>
      <c r="I498" s="21"/>
    </row>
    <row r="499" spans="2:9" x14ac:dyDescent="0.3">
      <c r="B499" s="53"/>
      <c r="C499" s="14"/>
      <c r="D499" s="17"/>
      <c r="E499" s="22"/>
      <c r="F499" s="75"/>
      <c r="G499" s="75"/>
      <c r="H499" s="20"/>
      <c r="I499" s="21"/>
    </row>
    <row r="500" spans="2:9" x14ac:dyDescent="0.3">
      <c r="B500" s="53"/>
      <c r="C500" s="14"/>
      <c r="D500" s="17"/>
      <c r="E500" s="22"/>
      <c r="F500" s="76"/>
      <c r="G500" s="75"/>
      <c r="H500" s="18"/>
      <c r="I500" s="19"/>
    </row>
    <row r="501" spans="2:9" x14ac:dyDescent="0.3">
      <c r="B501" s="53"/>
      <c r="C501" s="14"/>
      <c r="D501" s="17"/>
      <c r="E501" s="22"/>
      <c r="F501" s="75"/>
      <c r="G501" s="75"/>
      <c r="H501" s="20"/>
      <c r="I501" s="21"/>
    </row>
    <row r="502" spans="2:9" x14ac:dyDescent="0.3">
      <c r="B502" s="53"/>
      <c r="C502" s="14"/>
      <c r="D502" s="17"/>
      <c r="E502" s="22"/>
      <c r="F502" s="75"/>
      <c r="G502" s="75"/>
      <c r="H502" s="20"/>
      <c r="I502" s="21"/>
    </row>
    <row r="503" spans="2:9" x14ac:dyDescent="0.3">
      <c r="B503" s="53"/>
      <c r="C503" s="14"/>
      <c r="D503" s="17"/>
      <c r="E503" s="22"/>
      <c r="F503" s="75"/>
      <c r="G503" s="75"/>
      <c r="H503" s="20"/>
      <c r="I503" s="21"/>
    </row>
    <row r="504" spans="2:9" x14ac:dyDescent="0.3">
      <c r="B504" s="53"/>
      <c r="C504" s="14"/>
      <c r="D504" s="17"/>
      <c r="E504" s="22"/>
      <c r="F504" s="75"/>
      <c r="G504" s="75"/>
      <c r="H504" s="20"/>
      <c r="I504" s="21"/>
    </row>
    <row r="505" spans="2:9" x14ac:dyDescent="0.3">
      <c r="B505" s="53"/>
      <c r="C505" s="14"/>
      <c r="D505" s="17"/>
      <c r="E505" s="22"/>
      <c r="F505" s="75"/>
      <c r="G505" s="75"/>
      <c r="H505" s="20"/>
      <c r="I505" s="21"/>
    </row>
    <row r="506" spans="2:9" x14ac:dyDescent="0.3">
      <c r="B506" s="53"/>
      <c r="C506" s="14"/>
      <c r="D506" s="17"/>
      <c r="E506" s="22"/>
      <c r="F506" s="75"/>
      <c r="G506" s="75"/>
      <c r="H506" s="20"/>
      <c r="I506" s="21"/>
    </row>
    <row r="507" spans="2:9" x14ac:dyDescent="0.3">
      <c r="B507" s="53"/>
      <c r="C507" s="14"/>
      <c r="D507" s="17"/>
      <c r="E507" s="22"/>
      <c r="F507" s="75"/>
      <c r="G507" s="75"/>
      <c r="H507" s="20"/>
      <c r="I507" s="21"/>
    </row>
    <row r="508" spans="2:9" x14ac:dyDescent="0.3">
      <c r="B508" s="53"/>
      <c r="C508" s="14"/>
      <c r="D508" s="17"/>
      <c r="E508" s="22"/>
      <c r="F508" s="75"/>
      <c r="G508" s="75"/>
      <c r="H508" s="20"/>
      <c r="I508" s="21"/>
    </row>
    <row r="509" spans="2:9" x14ac:dyDescent="0.3">
      <c r="B509" s="53"/>
      <c r="C509" s="14"/>
      <c r="D509" s="17"/>
      <c r="E509" s="22"/>
      <c r="F509" s="75"/>
      <c r="G509" s="75"/>
      <c r="H509" s="20"/>
      <c r="I509" s="21"/>
    </row>
    <row r="510" spans="2:9" x14ac:dyDescent="0.3">
      <c r="B510" s="53"/>
      <c r="C510" s="14"/>
      <c r="D510" s="17"/>
      <c r="E510" s="22"/>
      <c r="F510" s="75"/>
      <c r="G510" s="75"/>
      <c r="H510" s="20"/>
      <c r="I510" s="21"/>
    </row>
    <row r="511" spans="2:9" x14ac:dyDescent="0.3">
      <c r="B511" s="53"/>
      <c r="C511" s="14"/>
      <c r="D511" s="17"/>
      <c r="E511" s="22"/>
      <c r="F511" s="75"/>
      <c r="G511" s="75"/>
      <c r="H511" s="20"/>
      <c r="I511" s="21"/>
    </row>
    <row r="512" spans="2:9" x14ac:dyDescent="0.3">
      <c r="B512" s="53"/>
      <c r="C512" s="14"/>
      <c r="D512" s="17"/>
      <c r="E512" s="22"/>
      <c r="F512" s="75"/>
      <c r="G512" s="75"/>
      <c r="H512" s="20"/>
      <c r="I512" s="21"/>
    </row>
    <row r="513" spans="2:9" x14ac:dyDescent="0.3">
      <c r="B513" s="53"/>
      <c r="C513" s="14"/>
      <c r="D513" s="17"/>
      <c r="E513" s="22"/>
      <c r="F513" s="75"/>
      <c r="G513" s="75"/>
      <c r="H513" s="20"/>
      <c r="I513" s="21"/>
    </row>
    <row r="514" spans="2:9" x14ac:dyDescent="0.3">
      <c r="B514" s="53"/>
      <c r="C514" s="14"/>
      <c r="D514" s="17"/>
      <c r="E514" s="22"/>
      <c r="F514" s="75"/>
      <c r="G514" s="75"/>
      <c r="H514" s="20"/>
      <c r="I514" s="21"/>
    </row>
    <row r="515" spans="2:9" x14ac:dyDescent="0.3">
      <c r="B515" s="53"/>
      <c r="C515" s="14"/>
      <c r="D515" s="17"/>
      <c r="E515" s="22"/>
      <c r="F515" s="75"/>
      <c r="G515" s="75"/>
      <c r="H515" s="20"/>
      <c r="I515" s="21"/>
    </row>
    <row r="516" spans="2:9" x14ac:dyDescent="0.3">
      <c r="B516" s="53"/>
      <c r="C516" s="14"/>
      <c r="D516" s="17"/>
      <c r="E516" s="22"/>
      <c r="F516" s="75"/>
      <c r="G516" s="75"/>
      <c r="H516" s="20"/>
      <c r="I516" s="21"/>
    </row>
    <row r="517" spans="2:9" x14ac:dyDescent="0.3">
      <c r="B517" s="53"/>
      <c r="C517" s="14"/>
      <c r="D517" s="17"/>
      <c r="E517" s="22"/>
      <c r="F517" s="75"/>
      <c r="G517" s="75"/>
      <c r="H517" s="20"/>
      <c r="I517" s="21"/>
    </row>
    <row r="518" spans="2:9" x14ac:dyDescent="0.3">
      <c r="B518" s="54"/>
      <c r="C518" s="16"/>
      <c r="D518" s="17"/>
      <c r="E518" s="22"/>
      <c r="F518" s="75"/>
      <c r="G518" s="75"/>
      <c r="H518" s="20"/>
      <c r="I518" s="21"/>
    </row>
    <row r="519" spans="2:9" x14ac:dyDescent="0.3">
      <c r="B519" s="53"/>
      <c r="C519" s="14"/>
      <c r="D519" s="17"/>
      <c r="E519" s="22"/>
      <c r="F519" s="75"/>
      <c r="G519" s="75"/>
      <c r="H519" s="20"/>
      <c r="I519" s="21"/>
    </row>
    <row r="520" spans="2:9" x14ac:dyDescent="0.3">
      <c r="B520" s="53"/>
      <c r="C520" s="14"/>
      <c r="D520" s="17"/>
      <c r="E520" s="22"/>
      <c r="F520" s="76"/>
      <c r="G520" s="75"/>
      <c r="H520" s="18"/>
      <c r="I520" s="19"/>
    </row>
    <row r="521" spans="2:9" x14ac:dyDescent="0.3">
      <c r="B521" s="53"/>
      <c r="C521" s="14"/>
      <c r="D521" s="17"/>
      <c r="E521" s="22"/>
      <c r="F521" s="75"/>
      <c r="G521" s="75"/>
      <c r="H521" s="20"/>
      <c r="I521" s="21"/>
    </row>
    <row r="522" spans="2:9" x14ac:dyDescent="0.3">
      <c r="B522" s="53"/>
      <c r="C522" s="14"/>
      <c r="D522" s="17"/>
      <c r="E522" s="22"/>
      <c r="F522" s="75"/>
      <c r="G522" s="75"/>
      <c r="H522" s="20"/>
      <c r="I522" s="21"/>
    </row>
    <row r="523" spans="2:9" x14ac:dyDescent="0.3">
      <c r="B523" s="53"/>
      <c r="C523" s="14"/>
      <c r="D523" s="17"/>
      <c r="E523" s="22"/>
      <c r="F523" s="75"/>
      <c r="G523" s="75"/>
      <c r="H523" s="20"/>
      <c r="I523" s="21"/>
    </row>
    <row r="524" spans="2:9" x14ac:dyDescent="0.3">
      <c r="B524" s="53"/>
      <c r="C524" s="14"/>
      <c r="D524" s="17"/>
      <c r="E524" s="22"/>
      <c r="F524" s="75"/>
      <c r="G524" s="75"/>
      <c r="H524" s="20"/>
      <c r="I524" s="21"/>
    </row>
    <row r="525" spans="2:9" x14ac:dyDescent="0.3">
      <c r="B525" s="53"/>
      <c r="C525" s="14"/>
      <c r="D525" s="17"/>
      <c r="E525" s="22"/>
      <c r="F525" s="75"/>
      <c r="G525" s="75"/>
      <c r="H525" s="20"/>
      <c r="I525" s="21"/>
    </row>
    <row r="526" spans="2:9" x14ac:dyDescent="0.3">
      <c r="B526" s="53"/>
      <c r="C526" s="14"/>
      <c r="D526" s="17"/>
      <c r="E526" s="22"/>
      <c r="F526" s="75"/>
      <c r="G526" s="75"/>
      <c r="H526" s="20"/>
      <c r="I526" s="21"/>
    </row>
    <row r="527" spans="2:9" x14ac:dyDescent="0.3">
      <c r="B527" s="54"/>
      <c r="C527" s="16"/>
      <c r="D527" s="17"/>
      <c r="E527" s="22"/>
      <c r="F527" s="75"/>
      <c r="G527" s="75"/>
      <c r="H527" s="20"/>
      <c r="I527" s="21"/>
    </row>
    <row r="528" spans="2:9" x14ac:dyDescent="0.3">
      <c r="B528" s="53"/>
      <c r="C528" s="14"/>
      <c r="D528" s="17"/>
      <c r="E528" s="22"/>
      <c r="F528" s="75"/>
      <c r="G528" s="75"/>
      <c r="H528" s="20"/>
      <c r="I528" s="21"/>
    </row>
    <row r="529" spans="2:9" x14ac:dyDescent="0.3">
      <c r="B529" s="53"/>
      <c r="C529" s="14"/>
      <c r="D529" s="17"/>
      <c r="E529" s="22"/>
      <c r="F529" s="75"/>
      <c r="G529" s="75"/>
      <c r="H529" s="20"/>
      <c r="I529" s="21"/>
    </row>
    <row r="530" spans="2:9" x14ac:dyDescent="0.3">
      <c r="B530" s="53"/>
      <c r="C530" s="14"/>
      <c r="D530" s="17"/>
      <c r="E530" s="22"/>
      <c r="F530" s="75"/>
      <c r="G530" s="75"/>
      <c r="H530" s="20"/>
      <c r="I530" s="21"/>
    </row>
    <row r="531" spans="2:9" x14ac:dyDescent="0.3">
      <c r="B531" s="53"/>
      <c r="C531" s="14"/>
      <c r="D531" s="17"/>
      <c r="E531" s="22"/>
      <c r="F531" s="75"/>
      <c r="G531" s="75"/>
      <c r="H531" s="20"/>
      <c r="I531" s="21"/>
    </row>
    <row r="532" spans="2:9" x14ac:dyDescent="0.3">
      <c r="B532" s="53"/>
      <c r="C532" s="14"/>
      <c r="D532" s="17"/>
      <c r="E532" s="22"/>
      <c r="F532" s="75"/>
      <c r="G532" s="75"/>
      <c r="H532" s="20"/>
      <c r="I532" s="21"/>
    </row>
    <row r="533" spans="2:9" x14ac:dyDescent="0.3">
      <c r="B533" s="53"/>
      <c r="C533" s="14"/>
      <c r="D533" s="17"/>
      <c r="E533" s="22"/>
      <c r="F533" s="75"/>
      <c r="G533" s="75"/>
      <c r="H533" s="20"/>
      <c r="I533" s="21"/>
    </row>
    <row r="534" spans="2:9" x14ac:dyDescent="0.3">
      <c r="B534" s="53"/>
      <c r="C534" s="14"/>
      <c r="D534" s="17"/>
      <c r="E534" s="22"/>
      <c r="F534" s="75"/>
      <c r="G534" s="75"/>
      <c r="H534" s="20"/>
      <c r="I534" s="21"/>
    </row>
    <row r="535" spans="2:9" x14ac:dyDescent="0.3">
      <c r="B535" s="53"/>
      <c r="C535" s="14"/>
      <c r="D535" s="17"/>
      <c r="E535" s="22"/>
      <c r="F535" s="75"/>
      <c r="G535" s="75"/>
      <c r="H535" s="20"/>
      <c r="I535" s="21"/>
    </row>
    <row r="536" spans="2:9" x14ac:dyDescent="0.3">
      <c r="B536" s="53"/>
      <c r="C536" s="14"/>
      <c r="D536" s="17"/>
      <c r="E536" s="22"/>
      <c r="F536" s="75"/>
      <c r="G536" s="75"/>
      <c r="H536" s="20"/>
      <c r="I536" s="21"/>
    </row>
    <row r="537" spans="2:9" x14ac:dyDescent="0.3">
      <c r="B537" s="53"/>
      <c r="C537" s="14"/>
      <c r="D537" s="17"/>
      <c r="E537" s="22"/>
      <c r="F537" s="75"/>
      <c r="G537" s="75"/>
      <c r="H537" s="20"/>
      <c r="I537" s="21"/>
    </row>
    <row r="538" spans="2:9" x14ac:dyDescent="0.3">
      <c r="B538" s="54"/>
      <c r="C538" s="16"/>
      <c r="D538" s="17"/>
      <c r="E538" s="22"/>
      <c r="F538" s="76"/>
      <c r="G538" s="75"/>
      <c r="H538" s="18"/>
      <c r="I538" s="19"/>
    </row>
    <row r="539" spans="2:9" x14ac:dyDescent="0.3">
      <c r="B539" s="53"/>
      <c r="C539" s="14"/>
      <c r="D539" s="17"/>
      <c r="E539" s="22"/>
      <c r="F539" s="75"/>
      <c r="G539" s="75"/>
      <c r="H539" s="20"/>
      <c r="I539" s="21"/>
    </row>
    <row r="540" spans="2:9" x14ac:dyDescent="0.3">
      <c r="B540" s="53"/>
      <c r="C540" s="14"/>
      <c r="D540" s="17"/>
      <c r="E540" s="22"/>
      <c r="F540" s="75"/>
      <c r="G540" s="75"/>
      <c r="H540" s="20"/>
      <c r="I540" s="21"/>
    </row>
    <row r="541" spans="2:9" x14ac:dyDescent="0.3">
      <c r="B541" s="53"/>
      <c r="C541" s="14"/>
      <c r="D541" s="17"/>
      <c r="E541" s="22"/>
      <c r="F541" s="75"/>
      <c r="G541" s="75"/>
      <c r="H541" s="20"/>
      <c r="I541" s="21"/>
    </row>
    <row r="542" spans="2:9" x14ac:dyDescent="0.3">
      <c r="B542" s="53"/>
      <c r="C542" s="14"/>
      <c r="D542" s="17"/>
      <c r="E542" s="22"/>
      <c r="F542" s="75"/>
      <c r="G542" s="75"/>
      <c r="H542" s="20"/>
      <c r="I542" s="21"/>
    </row>
    <row r="543" spans="2:9" x14ac:dyDescent="0.3">
      <c r="B543" s="53"/>
      <c r="C543" s="14"/>
      <c r="D543" s="17"/>
      <c r="E543" s="22"/>
      <c r="F543" s="75"/>
      <c r="G543" s="75"/>
      <c r="H543" s="20"/>
      <c r="I543" s="21"/>
    </row>
    <row r="544" spans="2:9" x14ac:dyDescent="0.3">
      <c r="B544" s="53"/>
      <c r="C544" s="14"/>
      <c r="D544" s="17"/>
      <c r="E544" s="22"/>
      <c r="F544" s="75"/>
      <c r="G544" s="75"/>
      <c r="H544" s="20"/>
      <c r="I544" s="21"/>
    </row>
    <row r="545" spans="2:9" x14ac:dyDescent="0.3">
      <c r="B545" s="53"/>
      <c r="C545" s="14"/>
      <c r="D545" s="17"/>
      <c r="E545" s="22"/>
      <c r="F545" s="75"/>
      <c r="G545" s="75"/>
      <c r="H545" s="20"/>
      <c r="I545" s="21"/>
    </row>
    <row r="546" spans="2:9" x14ac:dyDescent="0.3">
      <c r="B546" s="53"/>
      <c r="C546" s="14"/>
      <c r="D546" s="17"/>
      <c r="E546" s="22"/>
      <c r="F546" s="75"/>
      <c r="G546" s="75"/>
      <c r="H546" s="20"/>
      <c r="I546" s="21"/>
    </row>
    <row r="547" spans="2:9" x14ac:dyDescent="0.3">
      <c r="B547" s="53"/>
      <c r="C547" s="14"/>
      <c r="D547" s="17"/>
      <c r="E547" s="22"/>
      <c r="F547" s="75"/>
      <c r="G547" s="75"/>
      <c r="H547" s="20"/>
      <c r="I547" s="21"/>
    </row>
    <row r="548" spans="2:9" x14ac:dyDescent="0.3">
      <c r="B548" s="53"/>
      <c r="C548" s="14"/>
      <c r="D548" s="17"/>
      <c r="E548" s="22"/>
      <c r="F548" s="75"/>
      <c r="G548" s="75"/>
      <c r="H548" s="20"/>
      <c r="I548" s="21"/>
    </row>
    <row r="549" spans="2:9" x14ac:dyDescent="0.3">
      <c r="B549" s="53"/>
      <c r="C549" s="14"/>
      <c r="D549" s="17"/>
      <c r="E549" s="22"/>
      <c r="F549" s="75"/>
      <c r="G549" s="75"/>
      <c r="H549" s="20"/>
      <c r="I549" s="21"/>
    </row>
    <row r="550" spans="2:9" x14ac:dyDescent="0.3">
      <c r="B550" s="53"/>
      <c r="C550" s="14"/>
      <c r="D550" s="17"/>
      <c r="E550" s="22"/>
      <c r="F550" s="75"/>
      <c r="G550" s="75"/>
      <c r="H550" s="20"/>
      <c r="I550" s="21"/>
    </row>
    <row r="551" spans="2:9" x14ac:dyDescent="0.3">
      <c r="B551" s="53"/>
      <c r="C551" s="14"/>
      <c r="D551" s="17"/>
      <c r="E551" s="22"/>
      <c r="F551" s="76"/>
      <c r="G551" s="75"/>
      <c r="H551" s="18"/>
      <c r="I551" s="19"/>
    </row>
    <row r="552" spans="2:9" x14ac:dyDescent="0.3">
      <c r="B552" s="53"/>
      <c r="C552" s="14"/>
      <c r="D552" s="17"/>
      <c r="E552" s="22"/>
      <c r="F552" s="75"/>
      <c r="G552" s="75"/>
      <c r="H552" s="20"/>
      <c r="I552" s="21"/>
    </row>
    <row r="553" spans="2:9" x14ac:dyDescent="0.3">
      <c r="B553" s="53"/>
      <c r="C553" s="14"/>
      <c r="D553" s="17"/>
      <c r="E553" s="22"/>
      <c r="F553" s="75"/>
      <c r="G553" s="75"/>
      <c r="H553" s="20"/>
      <c r="I553" s="21"/>
    </row>
    <row r="554" spans="2:9" x14ac:dyDescent="0.3">
      <c r="B554" s="54"/>
      <c r="C554" s="16"/>
      <c r="D554" s="17"/>
      <c r="E554" s="22"/>
      <c r="F554" s="75"/>
      <c r="G554" s="75"/>
      <c r="H554" s="20"/>
      <c r="I554" s="21"/>
    </row>
    <row r="555" spans="2:9" x14ac:dyDescent="0.3">
      <c r="B555" s="53"/>
      <c r="C555" s="14"/>
      <c r="D555" s="17"/>
      <c r="E555" s="22"/>
      <c r="F555" s="75"/>
      <c r="G555" s="75"/>
      <c r="H555" s="20"/>
      <c r="I555" s="21"/>
    </row>
    <row r="556" spans="2:9" x14ac:dyDescent="0.3">
      <c r="B556" s="53"/>
      <c r="C556" s="14"/>
      <c r="D556" s="17"/>
      <c r="E556" s="22"/>
      <c r="F556" s="77"/>
      <c r="G556" s="78"/>
      <c r="H556" s="23"/>
      <c r="I556" s="24"/>
    </row>
    <row r="557" spans="2:9" x14ac:dyDescent="0.3">
      <c r="B557" s="53"/>
      <c r="C557" s="14"/>
      <c r="D557" s="17"/>
      <c r="E557" s="22"/>
      <c r="F557" s="75"/>
      <c r="G557" s="75"/>
      <c r="H557" s="20"/>
      <c r="I557" s="21"/>
    </row>
    <row r="558" spans="2:9" x14ac:dyDescent="0.3">
      <c r="B558" s="53"/>
      <c r="C558" s="14"/>
      <c r="D558" s="17"/>
      <c r="E558" s="22"/>
      <c r="F558" s="75"/>
      <c r="G558" s="75"/>
      <c r="H558" s="20"/>
      <c r="I558" s="25"/>
    </row>
    <row r="559" spans="2:9" x14ac:dyDescent="0.3">
      <c r="B559" s="53"/>
      <c r="C559" s="14"/>
      <c r="D559" s="17"/>
      <c r="E559" s="22"/>
      <c r="F559" s="75"/>
      <c r="G559" s="75"/>
      <c r="H559" s="20"/>
      <c r="I559" s="25"/>
    </row>
    <row r="560" spans="2:9" x14ac:dyDescent="0.3">
      <c r="B560" s="53"/>
      <c r="C560" s="14"/>
      <c r="D560" s="17"/>
      <c r="E560" s="22"/>
      <c r="F560" s="75"/>
      <c r="G560" s="75"/>
      <c r="H560" s="20"/>
      <c r="I560" s="25"/>
    </row>
    <row r="561" spans="2:9" x14ac:dyDescent="0.3">
      <c r="B561" s="53"/>
      <c r="C561" s="14"/>
      <c r="D561" s="17"/>
      <c r="E561" s="22"/>
      <c r="F561" s="75"/>
      <c r="G561" s="75"/>
      <c r="H561" s="20"/>
      <c r="I561" s="25"/>
    </row>
    <row r="562" spans="2:9" x14ac:dyDescent="0.3">
      <c r="B562" s="55"/>
      <c r="C562" s="83"/>
      <c r="D562" s="17"/>
      <c r="E562" s="22"/>
      <c r="F562" s="75"/>
      <c r="G562" s="75"/>
      <c r="H562" s="20"/>
      <c r="I562" s="25"/>
    </row>
    <row r="563" spans="2:9" x14ac:dyDescent="0.3">
      <c r="B563" s="53"/>
      <c r="C563" s="14"/>
      <c r="D563" s="17"/>
      <c r="E563" s="22"/>
      <c r="F563" s="75"/>
      <c r="G563" s="75"/>
      <c r="H563" s="20"/>
      <c r="I563" s="25"/>
    </row>
    <row r="564" spans="2:9" x14ac:dyDescent="0.3">
      <c r="B564" s="53"/>
      <c r="C564" s="14"/>
      <c r="D564" s="17"/>
      <c r="E564" s="22"/>
      <c r="F564" s="75"/>
      <c r="G564" s="75"/>
      <c r="H564" s="20"/>
      <c r="I564" s="25"/>
    </row>
    <row r="565" spans="2:9" x14ac:dyDescent="0.3">
      <c r="B565" s="53"/>
      <c r="C565" s="14"/>
      <c r="D565" s="17"/>
      <c r="E565" s="22"/>
      <c r="F565" s="75"/>
      <c r="G565" s="75"/>
      <c r="H565" s="20"/>
      <c r="I565" s="25"/>
    </row>
    <row r="566" spans="2:9" x14ac:dyDescent="0.3">
      <c r="B566" s="52"/>
      <c r="C566" s="16"/>
      <c r="D566" s="17"/>
      <c r="E566" s="22"/>
      <c r="F566" s="75"/>
      <c r="G566" s="75"/>
      <c r="H566" s="20"/>
      <c r="I566" s="25"/>
    </row>
    <row r="567" spans="2:9" x14ac:dyDescent="0.3">
      <c r="B567" s="53"/>
      <c r="C567" s="14"/>
      <c r="D567" s="17"/>
      <c r="E567" s="22"/>
      <c r="F567" s="75"/>
      <c r="G567" s="75"/>
      <c r="H567" s="20"/>
      <c r="I567" s="25"/>
    </row>
    <row r="568" spans="2:9" x14ac:dyDescent="0.3">
      <c r="B568" s="53"/>
      <c r="C568" s="14"/>
      <c r="D568" s="17"/>
      <c r="E568" s="22"/>
      <c r="F568" s="75"/>
      <c r="G568" s="75"/>
      <c r="H568" s="20"/>
      <c r="I568" s="25"/>
    </row>
    <row r="569" spans="2:9" x14ac:dyDescent="0.3">
      <c r="B569" s="53"/>
      <c r="C569" s="14"/>
      <c r="D569" s="17"/>
      <c r="E569" s="22"/>
      <c r="F569" s="75"/>
      <c r="G569" s="75"/>
      <c r="H569" s="20"/>
      <c r="I569" s="25"/>
    </row>
    <row r="570" spans="2:9" x14ac:dyDescent="0.3">
      <c r="B570" s="53"/>
      <c r="C570" s="14"/>
      <c r="D570" s="17"/>
      <c r="E570" s="22"/>
      <c r="F570" s="75"/>
      <c r="G570" s="75"/>
      <c r="H570" s="20"/>
      <c r="I570" s="25"/>
    </row>
    <row r="571" spans="2:9" x14ac:dyDescent="0.3">
      <c r="B571" s="53"/>
      <c r="C571" s="14"/>
      <c r="D571" s="17"/>
      <c r="E571" s="22"/>
      <c r="F571" s="75"/>
      <c r="G571" s="75"/>
      <c r="H571" s="20"/>
      <c r="I571" s="25"/>
    </row>
    <row r="572" spans="2:9" x14ac:dyDescent="0.3">
      <c r="B572" s="52"/>
      <c r="C572" s="16"/>
      <c r="D572" s="17"/>
      <c r="E572" s="22"/>
      <c r="F572" s="75"/>
      <c r="G572" s="75"/>
      <c r="H572" s="20"/>
      <c r="I572" s="25"/>
    </row>
    <row r="573" spans="2:9" x14ac:dyDescent="0.3">
      <c r="B573" s="53"/>
      <c r="C573" s="14"/>
      <c r="D573" s="17"/>
      <c r="E573" s="22"/>
      <c r="F573" s="75"/>
      <c r="G573" s="75"/>
      <c r="H573" s="20"/>
      <c r="I573" s="25"/>
    </row>
    <row r="574" spans="2:9" x14ac:dyDescent="0.3">
      <c r="B574" s="53"/>
      <c r="C574" s="14"/>
      <c r="D574" s="17"/>
      <c r="E574" s="22"/>
      <c r="F574" s="75"/>
      <c r="G574" s="75"/>
      <c r="H574" s="20"/>
      <c r="I574" s="25"/>
    </row>
    <row r="575" spans="2:9" x14ac:dyDescent="0.3">
      <c r="B575" s="53"/>
      <c r="C575" s="14"/>
      <c r="D575" s="17"/>
      <c r="E575" s="22"/>
      <c r="F575" s="75"/>
      <c r="G575" s="75"/>
      <c r="H575" s="20"/>
      <c r="I575" s="25"/>
    </row>
    <row r="576" spans="2:9" x14ac:dyDescent="0.3">
      <c r="B576" s="53"/>
      <c r="C576" s="14"/>
      <c r="D576" s="17"/>
      <c r="E576" s="22"/>
      <c r="F576" s="75"/>
      <c r="G576" s="75"/>
      <c r="H576" s="20"/>
      <c r="I576" s="25"/>
    </row>
    <row r="577" spans="2:9" x14ac:dyDescent="0.3">
      <c r="B577" s="53"/>
      <c r="C577" s="14"/>
      <c r="D577" s="17"/>
      <c r="E577" s="22"/>
      <c r="F577" s="75"/>
      <c r="G577" s="75"/>
      <c r="H577" s="20"/>
      <c r="I577" s="25"/>
    </row>
    <row r="578" spans="2:9" x14ac:dyDescent="0.3">
      <c r="B578" s="52"/>
      <c r="C578" s="16"/>
      <c r="D578" s="17"/>
      <c r="E578" s="22"/>
      <c r="F578" s="75"/>
      <c r="G578" s="75"/>
      <c r="H578" s="20"/>
      <c r="I578" s="25"/>
    </row>
    <row r="579" spans="2:9" x14ac:dyDescent="0.3">
      <c r="B579" s="53"/>
      <c r="C579" s="14"/>
      <c r="D579" s="17"/>
      <c r="E579" s="22"/>
      <c r="F579" s="75"/>
      <c r="G579" s="75"/>
      <c r="H579" s="20"/>
      <c r="I579" s="25"/>
    </row>
    <row r="580" spans="2:9" x14ac:dyDescent="0.3">
      <c r="B580" s="53"/>
      <c r="C580" s="14"/>
      <c r="D580" s="17"/>
      <c r="E580" s="22"/>
      <c r="F580" s="75"/>
      <c r="G580" s="75"/>
      <c r="H580" s="20"/>
      <c r="I580" s="25"/>
    </row>
    <row r="581" spans="2:9" x14ac:dyDescent="0.3">
      <c r="B581" s="53"/>
      <c r="C581" s="14"/>
      <c r="D581" s="17"/>
      <c r="E581" s="22"/>
      <c r="F581" s="75"/>
      <c r="G581" s="75"/>
      <c r="H581" s="20"/>
      <c r="I581" s="25"/>
    </row>
    <row r="582" spans="2:9" x14ac:dyDescent="0.3">
      <c r="B582" s="53"/>
      <c r="C582" s="14"/>
      <c r="D582" s="17"/>
      <c r="E582" s="22"/>
      <c r="F582" s="75"/>
      <c r="G582" s="75"/>
      <c r="H582" s="20"/>
      <c r="I582" s="25"/>
    </row>
    <row r="583" spans="2:9" x14ac:dyDescent="0.3">
      <c r="B583" s="53"/>
      <c r="C583" s="14"/>
      <c r="D583" s="17"/>
      <c r="E583" s="22"/>
      <c r="F583" s="75"/>
      <c r="G583" s="75"/>
      <c r="H583" s="20"/>
      <c r="I583" s="25"/>
    </row>
    <row r="584" spans="2:9" x14ac:dyDescent="0.3">
      <c r="B584" s="53"/>
      <c r="C584" s="14"/>
      <c r="D584" s="17"/>
      <c r="E584" s="22"/>
      <c r="F584" s="75"/>
      <c r="G584" s="75"/>
      <c r="H584" s="20"/>
      <c r="I584" s="25"/>
    </row>
    <row r="585" spans="2:9" x14ac:dyDescent="0.3">
      <c r="B585" s="55"/>
      <c r="C585" s="83"/>
      <c r="D585" s="17"/>
      <c r="E585" s="22"/>
      <c r="F585" s="75"/>
      <c r="G585" s="75"/>
      <c r="H585" s="20"/>
      <c r="I585" s="25"/>
    </row>
    <row r="586" spans="2:9" x14ac:dyDescent="0.3">
      <c r="B586" s="53"/>
      <c r="C586" s="14"/>
      <c r="D586" s="17"/>
      <c r="E586" s="22"/>
      <c r="F586" s="75"/>
      <c r="G586" s="75"/>
      <c r="H586" s="20"/>
      <c r="I586" s="25"/>
    </row>
    <row r="587" spans="2:9" x14ac:dyDescent="0.3">
      <c r="B587" s="53"/>
      <c r="C587" s="14"/>
      <c r="D587" s="17"/>
      <c r="E587" s="22"/>
      <c r="F587" s="75"/>
      <c r="G587" s="75"/>
      <c r="H587" s="20"/>
      <c r="I587" s="25"/>
    </row>
    <row r="588" spans="2:9" x14ac:dyDescent="0.3">
      <c r="B588" s="54"/>
      <c r="C588" s="16"/>
      <c r="D588" s="17"/>
      <c r="E588" s="22"/>
      <c r="F588" s="75"/>
      <c r="G588" s="75"/>
      <c r="H588" s="20"/>
      <c r="I588" s="25"/>
    </row>
    <row r="589" spans="2:9" x14ac:dyDescent="0.3">
      <c r="B589" s="53"/>
      <c r="C589" s="14"/>
      <c r="D589" s="17"/>
      <c r="E589" s="22"/>
      <c r="F589" s="75"/>
      <c r="G589" s="75"/>
      <c r="H589" s="20"/>
      <c r="I589" s="25"/>
    </row>
    <row r="590" spans="2:9" x14ac:dyDescent="0.3">
      <c r="B590" s="53"/>
      <c r="C590" s="14"/>
      <c r="D590" s="17"/>
      <c r="E590" s="22"/>
      <c r="F590" s="75"/>
      <c r="G590" s="75"/>
      <c r="H590" s="20"/>
      <c r="I590" s="25"/>
    </row>
    <row r="591" spans="2:9" x14ac:dyDescent="0.3">
      <c r="B591" s="53"/>
      <c r="C591" s="14"/>
      <c r="D591" s="17"/>
      <c r="E591" s="22"/>
      <c r="F591" s="75"/>
      <c r="G591" s="75"/>
      <c r="H591" s="20"/>
      <c r="I591" s="25"/>
    </row>
    <row r="592" spans="2:9" x14ac:dyDescent="0.3">
      <c r="B592" s="53"/>
      <c r="C592" s="14"/>
      <c r="D592" s="17"/>
      <c r="E592" s="22"/>
      <c r="F592" s="75"/>
      <c r="G592" s="75"/>
      <c r="H592" s="20"/>
      <c r="I592" s="25"/>
    </row>
    <row r="593" spans="2:9" x14ac:dyDescent="0.3">
      <c r="B593" s="53"/>
      <c r="C593" s="14"/>
      <c r="D593" s="17"/>
      <c r="E593" s="22"/>
      <c r="F593" s="75"/>
      <c r="G593" s="75"/>
      <c r="H593" s="20"/>
      <c r="I593" s="25"/>
    </row>
    <row r="594" spans="2:9" x14ac:dyDescent="0.3">
      <c r="B594" s="53"/>
      <c r="C594" s="14"/>
      <c r="D594" s="17"/>
      <c r="E594" s="22"/>
      <c r="F594" s="75"/>
      <c r="G594" s="75"/>
      <c r="H594" s="20"/>
      <c r="I594" s="25"/>
    </row>
    <row r="595" spans="2:9" x14ac:dyDescent="0.3">
      <c r="B595" s="53"/>
      <c r="C595" s="14"/>
      <c r="D595" s="17"/>
      <c r="E595" s="22"/>
      <c r="F595" s="75"/>
      <c r="G595" s="75"/>
      <c r="H595" s="20"/>
      <c r="I595" s="25"/>
    </row>
    <row r="596" spans="2:9" x14ac:dyDescent="0.3">
      <c r="B596" s="53"/>
      <c r="C596" s="14"/>
      <c r="D596" s="17"/>
      <c r="E596" s="22"/>
      <c r="F596" s="75"/>
      <c r="G596" s="75"/>
      <c r="H596" s="20"/>
      <c r="I596" s="25"/>
    </row>
    <row r="597" spans="2:9" x14ac:dyDescent="0.3">
      <c r="B597" s="53"/>
      <c r="C597" s="14"/>
      <c r="D597" s="17"/>
      <c r="E597" s="22"/>
      <c r="F597" s="75"/>
      <c r="G597" s="75"/>
      <c r="H597" s="20"/>
      <c r="I597" s="25"/>
    </row>
    <row r="598" spans="2:9" x14ac:dyDescent="0.3">
      <c r="B598" s="53"/>
      <c r="C598" s="14"/>
      <c r="D598" s="17"/>
      <c r="E598" s="22"/>
      <c r="F598" s="75"/>
      <c r="G598" s="75"/>
      <c r="H598" s="20"/>
      <c r="I598" s="25"/>
    </row>
    <row r="599" spans="2:9" x14ac:dyDescent="0.3">
      <c r="B599" s="53"/>
      <c r="C599" s="14"/>
      <c r="D599" s="17"/>
      <c r="E599" s="22"/>
      <c r="F599" s="75"/>
      <c r="G599" s="75"/>
      <c r="H599" s="20"/>
      <c r="I599" s="25"/>
    </row>
    <row r="600" spans="2:9" x14ac:dyDescent="0.3">
      <c r="B600" s="53"/>
      <c r="C600" s="14"/>
      <c r="D600" s="17"/>
      <c r="E600" s="22"/>
      <c r="F600" s="75"/>
      <c r="G600" s="75"/>
      <c r="H600" s="20"/>
      <c r="I600" s="25"/>
    </row>
    <row r="601" spans="2:9" x14ac:dyDescent="0.3">
      <c r="B601" s="53"/>
      <c r="C601" s="14"/>
      <c r="D601" s="17"/>
      <c r="E601" s="22"/>
      <c r="F601" s="75"/>
      <c r="G601" s="75"/>
      <c r="H601" s="20"/>
      <c r="I601" s="25"/>
    </row>
    <row r="602" spans="2:9" x14ac:dyDescent="0.3">
      <c r="B602" s="53"/>
      <c r="C602" s="14"/>
      <c r="D602" s="17"/>
      <c r="E602" s="22"/>
      <c r="F602" s="75"/>
      <c r="G602" s="75"/>
      <c r="H602" s="20"/>
      <c r="I602" s="25"/>
    </row>
    <row r="603" spans="2:9" x14ac:dyDescent="0.3">
      <c r="B603" s="53"/>
      <c r="C603" s="14"/>
      <c r="D603" s="17"/>
      <c r="E603" s="22"/>
      <c r="F603" s="75"/>
      <c r="G603" s="75"/>
      <c r="H603" s="20"/>
      <c r="I603" s="25"/>
    </row>
    <row r="604" spans="2:9" x14ac:dyDescent="0.3">
      <c r="B604" s="53"/>
      <c r="C604" s="14"/>
      <c r="D604" s="17"/>
      <c r="E604" s="22"/>
      <c r="F604" s="75"/>
      <c r="G604" s="75"/>
      <c r="H604" s="20"/>
      <c r="I604" s="25"/>
    </row>
    <row r="605" spans="2:9" x14ac:dyDescent="0.3">
      <c r="B605" s="53"/>
      <c r="C605" s="14"/>
      <c r="D605" s="17"/>
      <c r="E605" s="22"/>
      <c r="F605" s="75"/>
      <c r="G605" s="75"/>
      <c r="H605" s="20"/>
      <c r="I605" s="25"/>
    </row>
    <row r="606" spans="2:9" x14ac:dyDescent="0.3">
      <c r="B606" s="53"/>
      <c r="C606" s="14"/>
      <c r="D606" s="17"/>
      <c r="E606" s="22"/>
      <c r="F606" s="75"/>
      <c r="G606" s="75"/>
      <c r="H606" s="20"/>
      <c r="I606" s="25"/>
    </row>
    <row r="607" spans="2:9" x14ac:dyDescent="0.3">
      <c r="B607" s="53"/>
      <c r="C607" s="14"/>
      <c r="D607" s="17"/>
      <c r="E607" s="22"/>
      <c r="F607" s="75"/>
      <c r="G607" s="75"/>
      <c r="H607" s="20"/>
      <c r="I607" s="25"/>
    </row>
    <row r="608" spans="2:9" x14ac:dyDescent="0.3">
      <c r="B608" s="54"/>
      <c r="C608" s="16"/>
      <c r="D608" s="17"/>
      <c r="E608" s="22"/>
      <c r="F608" s="75"/>
      <c r="G608" s="75"/>
      <c r="H608" s="20"/>
      <c r="I608" s="25"/>
    </row>
    <row r="609" spans="2:9" x14ac:dyDescent="0.3">
      <c r="B609" s="53"/>
      <c r="C609" s="14"/>
      <c r="D609" s="17"/>
      <c r="E609" s="22"/>
      <c r="F609" s="75"/>
      <c r="G609" s="75"/>
      <c r="H609" s="20"/>
      <c r="I609" s="25"/>
    </row>
    <row r="610" spans="2:9" x14ac:dyDescent="0.3">
      <c r="B610" s="53"/>
      <c r="C610" s="14"/>
      <c r="D610" s="17"/>
      <c r="E610" s="22"/>
      <c r="F610" s="75"/>
      <c r="G610" s="75"/>
      <c r="H610" s="20"/>
      <c r="I610" s="25"/>
    </row>
    <row r="611" spans="2:9" x14ac:dyDescent="0.3">
      <c r="B611" s="53"/>
      <c r="C611" s="14"/>
      <c r="D611" s="17"/>
      <c r="E611" s="22"/>
      <c r="F611" s="75"/>
      <c r="G611" s="75"/>
      <c r="H611" s="20"/>
      <c r="I611" s="25"/>
    </row>
    <row r="612" spans="2:9" x14ac:dyDescent="0.3">
      <c r="B612" s="53"/>
      <c r="C612" s="14"/>
      <c r="D612" s="17"/>
      <c r="E612" s="22"/>
      <c r="F612" s="75"/>
      <c r="G612" s="75"/>
      <c r="H612" s="20"/>
      <c r="I612" s="25"/>
    </row>
    <row r="613" spans="2:9" x14ac:dyDescent="0.3">
      <c r="B613" s="53"/>
      <c r="C613" s="14"/>
      <c r="D613" s="17"/>
      <c r="E613" s="22"/>
      <c r="F613" s="75"/>
      <c r="G613" s="75"/>
      <c r="H613" s="20"/>
      <c r="I613" s="25"/>
    </row>
    <row r="614" spans="2:9" x14ac:dyDescent="0.3">
      <c r="B614" s="53"/>
      <c r="C614" s="14"/>
      <c r="D614" s="17"/>
      <c r="E614" s="22"/>
      <c r="F614" s="75"/>
      <c r="G614" s="75"/>
      <c r="H614" s="20"/>
      <c r="I614" s="25"/>
    </row>
    <row r="615" spans="2:9" x14ac:dyDescent="0.3">
      <c r="B615" s="53"/>
      <c r="C615" s="14"/>
      <c r="D615" s="17"/>
      <c r="E615" s="22"/>
      <c r="F615" s="75"/>
      <c r="G615" s="75"/>
      <c r="H615" s="20"/>
      <c r="I615" s="25"/>
    </row>
    <row r="616" spans="2:9" x14ac:dyDescent="0.3">
      <c r="B616" s="53"/>
      <c r="C616" s="14"/>
      <c r="D616" s="17"/>
      <c r="E616" s="22"/>
      <c r="F616" s="75"/>
      <c r="G616" s="75"/>
      <c r="H616" s="20"/>
      <c r="I616" s="25"/>
    </row>
    <row r="617" spans="2:9" x14ac:dyDescent="0.3">
      <c r="B617" s="53"/>
      <c r="C617" s="14"/>
      <c r="D617" s="17"/>
      <c r="E617" s="22"/>
      <c r="F617" s="75"/>
      <c r="G617" s="75"/>
      <c r="H617" s="20"/>
      <c r="I617" s="25"/>
    </row>
    <row r="618" spans="2:9" x14ac:dyDescent="0.3">
      <c r="B618" s="53"/>
      <c r="C618" s="14"/>
      <c r="D618" s="17"/>
      <c r="E618" s="22"/>
      <c r="F618" s="75"/>
      <c r="G618" s="75"/>
      <c r="H618" s="20"/>
      <c r="I618" s="25"/>
    </row>
    <row r="619" spans="2:9" x14ac:dyDescent="0.3">
      <c r="B619" s="53"/>
      <c r="C619" s="14"/>
      <c r="D619" s="17"/>
      <c r="E619" s="22"/>
      <c r="F619" s="75"/>
      <c r="G619" s="75"/>
      <c r="H619" s="20"/>
      <c r="I619" s="25"/>
    </row>
    <row r="620" spans="2:9" x14ac:dyDescent="0.3">
      <c r="B620" s="53"/>
      <c r="C620" s="14"/>
      <c r="D620" s="17"/>
      <c r="E620" s="22"/>
      <c r="F620" s="75"/>
      <c r="G620" s="75"/>
      <c r="H620" s="20"/>
      <c r="I620" s="25"/>
    </row>
    <row r="621" spans="2:9" x14ac:dyDescent="0.3">
      <c r="B621" s="53"/>
      <c r="C621" s="14"/>
      <c r="D621" s="17"/>
      <c r="E621" s="22"/>
      <c r="F621" s="75"/>
      <c r="G621" s="75"/>
      <c r="H621" s="20"/>
      <c r="I621" s="25"/>
    </row>
    <row r="622" spans="2:9" x14ac:dyDescent="0.3">
      <c r="B622" s="53"/>
      <c r="C622" s="14"/>
      <c r="D622" s="17"/>
      <c r="E622" s="22"/>
      <c r="F622" s="75"/>
      <c r="G622" s="75"/>
      <c r="H622" s="20"/>
      <c r="I622" s="25"/>
    </row>
    <row r="623" spans="2:9" x14ac:dyDescent="0.3">
      <c r="B623" s="53"/>
      <c r="C623" s="14"/>
      <c r="D623" s="17"/>
      <c r="E623" s="22"/>
      <c r="F623" s="75"/>
      <c r="G623" s="75"/>
      <c r="H623" s="20"/>
      <c r="I623" s="25"/>
    </row>
    <row r="624" spans="2:9" x14ac:dyDescent="0.3">
      <c r="B624" s="53"/>
      <c r="C624" s="14"/>
      <c r="D624" s="17"/>
      <c r="E624" s="22"/>
      <c r="F624" s="75"/>
      <c r="G624" s="75"/>
      <c r="H624" s="20"/>
      <c r="I624" s="25"/>
    </row>
    <row r="625" spans="2:9" x14ac:dyDescent="0.3">
      <c r="B625" s="53"/>
      <c r="C625" s="14"/>
      <c r="D625" s="17"/>
      <c r="E625" s="22"/>
      <c r="F625" s="75"/>
      <c r="G625" s="75"/>
      <c r="H625" s="20"/>
      <c r="I625" s="25"/>
    </row>
    <row r="626" spans="2:9" x14ac:dyDescent="0.3">
      <c r="B626" s="54"/>
      <c r="C626" s="16"/>
      <c r="D626" s="17"/>
      <c r="E626" s="22"/>
      <c r="F626" s="75"/>
      <c r="G626" s="75"/>
      <c r="H626" s="20"/>
      <c r="I626" s="21"/>
    </row>
    <row r="627" spans="2:9" x14ac:dyDescent="0.3">
      <c r="B627" s="53"/>
      <c r="C627" s="14"/>
      <c r="D627" s="17"/>
      <c r="E627" s="22"/>
      <c r="F627" s="77"/>
      <c r="G627" s="78"/>
      <c r="H627" s="23"/>
      <c r="I627" s="24"/>
    </row>
    <row r="628" spans="2:9" x14ac:dyDescent="0.3">
      <c r="B628" s="53"/>
      <c r="C628" s="14"/>
      <c r="D628" s="17"/>
      <c r="E628" s="22"/>
      <c r="F628" s="75"/>
      <c r="G628" s="75"/>
      <c r="H628" s="20"/>
      <c r="I628" s="21"/>
    </row>
    <row r="629" spans="2:9" x14ac:dyDescent="0.3">
      <c r="B629" s="53"/>
      <c r="C629" s="14"/>
      <c r="D629" s="17"/>
      <c r="E629" s="22"/>
      <c r="F629" s="75"/>
      <c r="G629" s="75"/>
      <c r="H629" s="20"/>
      <c r="I629" s="21"/>
    </row>
    <row r="630" spans="2:9" x14ac:dyDescent="0.3">
      <c r="B630" s="53"/>
      <c r="C630" s="14"/>
      <c r="D630" s="17"/>
      <c r="E630" s="22"/>
      <c r="F630" s="75"/>
      <c r="G630" s="75"/>
      <c r="H630" s="20"/>
      <c r="I630" s="21"/>
    </row>
    <row r="631" spans="2:9" x14ac:dyDescent="0.3">
      <c r="B631" s="53"/>
      <c r="C631" s="14"/>
      <c r="D631" s="17"/>
      <c r="E631" s="22"/>
      <c r="F631" s="75"/>
      <c r="G631" s="75"/>
      <c r="H631" s="20"/>
      <c r="I631" s="21"/>
    </row>
    <row r="632" spans="2:9" x14ac:dyDescent="0.3">
      <c r="B632" s="53"/>
      <c r="C632" s="14"/>
      <c r="D632" s="17"/>
      <c r="E632" s="22"/>
      <c r="F632" s="75"/>
      <c r="G632" s="75"/>
      <c r="H632" s="20"/>
      <c r="I632" s="21"/>
    </row>
    <row r="633" spans="2:9" x14ac:dyDescent="0.3">
      <c r="B633" s="53"/>
      <c r="C633" s="14"/>
      <c r="D633" s="17"/>
      <c r="E633" s="22"/>
      <c r="F633" s="75"/>
      <c r="G633" s="75"/>
      <c r="H633" s="20"/>
      <c r="I633" s="21"/>
    </row>
    <row r="634" spans="2:9" x14ac:dyDescent="0.3">
      <c r="B634" s="53"/>
      <c r="C634" s="14"/>
      <c r="D634" s="17"/>
      <c r="E634" s="22"/>
      <c r="F634" s="75"/>
      <c r="G634" s="75"/>
      <c r="H634" s="20"/>
      <c r="I634" s="21"/>
    </row>
    <row r="635" spans="2:9" x14ac:dyDescent="0.3">
      <c r="B635" s="53"/>
      <c r="C635" s="14"/>
      <c r="D635" s="17"/>
      <c r="E635" s="22"/>
      <c r="F635" s="75"/>
      <c r="G635" s="75"/>
      <c r="H635" s="20"/>
      <c r="I635" s="21"/>
    </row>
    <row r="636" spans="2:9" x14ac:dyDescent="0.3">
      <c r="B636" s="53"/>
      <c r="C636" s="14"/>
      <c r="D636" s="17"/>
      <c r="E636" s="22"/>
      <c r="F636" s="75"/>
      <c r="G636" s="75"/>
      <c r="H636" s="20"/>
      <c r="I636" s="21"/>
    </row>
    <row r="637" spans="2:9" x14ac:dyDescent="0.3">
      <c r="B637" s="53"/>
      <c r="C637" s="14"/>
      <c r="D637" s="17"/>
      <c r="E637" s="22"/>
      <c r="F637" s="75"/>
      <c r="G637" s="75"/>
      <c r="H637" s="20"/>
      <c r="I637" s="21"/>
    </row>
    <row r="638" spans="2:9" x14ac:dyDescent="0.3">
      <c r="B638" s="53"/>
      <c r="C638" s="14"/>
      <c r="D638" s="17"/>
      <c r="E638" s="22"/>
      <c r="F638" s="75"/>
      <c r="G638" s="75"/>
      <c r="H638" s="20"/>
      <c r="I638" s="21"/>
    </row>
    <row r="639" spans="2:9" x14ac:dyDescent="0.3">
      <c r="B639" s="54"/>
      <c r="C639" s="16"/>
      <c r="D639" s="17"/>
      <c r="E639" s="22"/>
      <c r="F639" s="75"/>
      <c r="G639" s="75"/>
      <c r="H639" s="20"/>
      <c r="I639" s="21"/>
    </row>
    <row r="640" spans="2:9" x14ac:dyDescent="0.3">
      <c r="B640" s="53"/>
      <c r="C640" s="14"/>
      <c r="D640" s="17"/>
      <c r="E640" s="22"/>
      <c r="F640" s="75"/>
      <c r="G640" s="75"/>
      <c r="H640" s="20"/>
      <c r="I640" s="21"/>
    </row>
    <row r="641" spans="2:9" x14ac:dyDescent="0.3">
      <c r="B641" s="53"/>
      <c r="C641" s="14"/>
      <c r="D641" s="17"/>
      <c r="E641" s="22"/>
      <c r="F641" s="75"/>
      <c r="G641" s="75"/>
      <c r="H641" s="20"/>
      <c r="I641" s="21"/>
    </row>
    <row r="642" spans="2:9" x14ac:dyDescent="0.3">
      <c r="B642" s="53"/>
      <c r="C642" s="14"/>
      <c r="D642" s="17"/>
      <c r="E642" s="22"/>
      <c r="F642" s="75"/>
      <c r="G642" s="75"/>
      <c r="H642" s="20"/>
      <c r="I642" s="21"/>
    </row>
    <row r="643" spans="2:9" x14ac:dyDescent="0.3">
      <c r="B643" s="53"/>
      <c r="C643" s="14"/>
      <c r="D643" s="17"/>
      <c r="E643" s="22"/>
      <c r="F643" s="75"/>
      <c r="G643" s="75"/>
      <c r="H643" s="20"/>
      <c r="I643" s="21"/>
    </row>
    <row r="644" spans="2:9" x14ac:dyDescent="0.3">
      <c r="B644" s="55"/>
      <c r="C644" s="83"/>
      <c r="D644" s="17"/>
      <c r="E644" s="22"/>
      <c r="F644" s="75"/>
      <c r="G644" s="75"/>
      <c r="H644" s="20"/>
      <c r="I644" s="21"/>
    </row>
    <row r="645" spans="2:9" x14ac:dyDescent="0.3">
      <c r="B645" s="52"/>
      <c r="C645" s="16"/>
      <c r="D645" s="17"/>
      <c r="E645" s="22"/>
      <c r="F645" s="75"/>
      <c r="G645" s="75"/>
      <c r="H645" s="20"/>
      <c r="I645" s="21"/>
    </row>
    <row r="646" spans="2:9" x14ac:dyDescent="0.3">
      <c r="B646" s="53"/>
      <c r="C646" s="14"/>
      <c r="D646" s="17"/>
      <c r="E646" s="22"/>
      <c r="F646" s="75"/>
      <c r="G646" s="75"/>
      <c r="H646" s="20"/>
      <c r="I646" s="21"/>
    </row>
    <row r="647" spans="2:9" x14ac:dyDescent="0.3">
      <c r="B647" s="53"/>
      <c r="C647" s="14"/>
      <c r="D647" s="17"/>
      <c r="E647" s="22"/>
      <c r="F647" s="75"/>
      <c r="G647" s="75"/>
      <c r="H647" s="20"/>
      <c r="I647" s="21"/>
    </row>
    <row r="648" spans="2:9" x14ac:dyDescent="0.3">
      <c r="B648" s="53"/>
      <c r="C648" s="14"/>
      <c r="D648" s="17"/>
      <c r="E648" s="22"/>
      <c r="F648" s="75"/>
      <c r="G648" s="75"/>
      <c r="H648" s="20"/>
      <c r="I648" s="21"/>
    </row>
    <row r="649" spans="2:9" x14ac:dyDescent="0.3">
      <c r="B649" s="53"/>
      <c r="C649" s="14"/>
      <c r="D649" s="17"/>
      <c r="E649" s="22"/>
      <c r="F649" s="75"/>
      <c r="G649" s="75"/>
      <c r="H649" s="20"/>
      <c r="I649" s="21"/>
    </row>
    <row r="650" spans="2:9" x14ac:dyDescent="0.3">
      <c r="B650" s="53"/>
      <c r="C650" s="14"/>
      <c r="D650" s="17"/>
      <c r="E650" s="22"/>
      <c r="F650" s="75"/>
      <c r="G650" s="75"/>
      <c r="H650" s="20"/>
      <c r="I650" s="21"/>
    </row>
    <row r="651" spans="2:9" x14ac:dyDescent="0.3">
      <c r="B651" s="53"/>
      <c r="C651" s="14"/>
      <c r="D651" s="17"/>
      <c r="E651" s="22"/>
      <c r="F651" s="75"/>
      <c r="G651" s="75"/>
      <c r="H651" s="20"/>
      <c r="I651" s="21"/>
    </row>
    <row r="652" spans="2:9" x14ac:dyDescent="0.3">
      <c r="B652" s="52"/>
      <c r="C652" s="16"/>
      <c r="D652" s="17"/>
      <c r="E652" s="22"/>
      <c r="F652" s="75"/>
      <c r="G652" s="75"/>
      <c r="H652" s="20"/>
      <c r="I652" s="21"/>
    </row>
    <row r="653" spans="2:9" x14ac:dyDescent="0.3">
      <c r="B653" s="53"/>
      <c r="C653" s="14"/>
      <c r="D653" s="17"/>
      <c r="E653" s="22"/>
      <c r="F653" s="75"/>
      <c r="G653" s="75"/>
      <c r="H653" s="20"/>
      <c r="I653" s="21"/>
    </row>
    <row r="654" spans="2:9" x14ac:dyDescent="0.3">
      <c r="B654" s="53"/>
      <c r="C654" s="14"/>
      <c r="D654" s="17"/>
      <c r="E654" s="22"/>
      <c r="F654" s="75"/>
      <c r="G654" s="75"/>
      <c r="H654" s="20"/>
      <c r="I654" s="21"/>
    </row>
    <row r="655" spans="2:9" x14ac:dyDescent="0.3">
      <c r="B655" s="53"/>
      <c r="C655" s="14"/>
      <c r="D655" s="17"/>
      <c r="E655" s="22"/>
      <c r="F655" s="75"/>
      <c r="G655" s="75"/>
      <c r="H655" s="20"/>
      <c r="I655" s="21"/>
    </row>
    <row r="656" spans="2:9" x14ac:dyDescent="0.3">
      <c r="B656" s="53"/>
      <c r="C656" s="14"/>
      <c r="D656" s="17"/>
      <c r="E656" s="22"/>
      <c r="F656" s="75"/>
      <c r="G656" s="75"/>
      <c r="H656" s="20"/>
      <c r="I656" s="21"/>
    </row>
    <row r="657" spans="2:9" x14ac:dyDescent="0.3">
      <c r="B657" s="53"/>
      <c r="C657" s="14"/>
      <c r="D657" s="17"/>
      <c r="E657" s="22"/>
      <c r="F657" s="75"/>
      <c r="G657" s="75"/>
      <c r="H657" s="20"/>
      <c r="I657" s="21"/>
    </row>
    <row r="658" spans="2:9" x14ac:dyDescent="0.3">
      <c r="B658" s="53"/>
      <c r="C658" s="14"/>
      <c r="D658" s="17"/>
      <c r="E658" s="22"/>
      <c r="F658" s="75"/>
      <c r="G658" s="75"/>
      <c r="H658" s="20"/>
      <c r="I658" s="21"/>
    </row>
    <row r="659" spans="2:9" x14ac:dyDescent="0.3">
      <c r="B659" s="53"/>
      <c r="C659" s="14"/>
      <c r="D659" s="17"/>
      <c r="E659" s="22"/>
      <c r="F659" s="75"/>
      <c r="G659" s="75"/>
      <c r="H659" s="20"/>
      <c r="I659" s="21"/>
    </row>
    <row r="660" spans="2:9" x14ac:dyDescent="0.3">
      <c r="B660" s="53"/>
      <c r="C660" s="14"/>
      <c r="D660" s="17"/>
      <c r="E660" s="22"/>
      <c r="F660" s="75"/>
      <c r="G660" s="75"/>
      <c r="H660" s="20"/>
      <c r="I660" s="21"/>
    </row>
    <row r="661" spans="2:9" x14ac:dyDescent="0.3">
      <c r="B661" s="53"/>
      <c r="C661" s="14"/>
      <c r="D661" s="17"/>
      <c r="E661" s="22"/>
      <c r="F661" s="75"/>
      <c r="G661" s="75"/>
      <c r="H661" s="20"/>
      <c r="I661" s="21"/>
    </row>
    <row r="662" spans="2:9" x14ac:dyDescent="0.3">
      <c r="B662" s="53"/>
      <c r="C662" s="14"/>
      <c r="D662" s="17"/>
      <c r="E662" s="22"/>
      <c r="F662" s="75"/>
      <c r="G662" s="75"/>
      <c r="H662" s="20"/>
      <c r="I662" s="21"/>
    </row>
    <row r="663" spans="2:9" x14ac:dyDescent="0.3">
      <c r="B663" s="53"/>
      <c r="C663" s="14"/>
      <c r="D663" s="17"/>
      <c r="E663" s="22"/>
      <c r="F663" s="75"/>
      <c r="G663" s="75"/>
      <c r="H663" s="20"/>
      <c r="I663" s="21"/>
    </row>
    <row r="664" spans="2:9" x14ac:dyDescent="0.3">
      <c r="B664" s="53"/>
      <c r="C664" s="14"/>
      <c r="D664" s="17"/>
      <c r="E664" s="22"/>
      <c r="F664" s="75"/>
      <c r="G664" s="75"/>
      <c r="H664" s="20"/>
      <c r="I664" s="21"/>
    </row>
    <row r="665" spans="2:9" x14ac:dyDescent="0.3">
      <c r="B665" s="53"/>
      <c r="C665" s="14"/>
      <c r="D665" s="17"/>
      <c r="E665" s="22"/>
      <c r="F665" s="75"/>
      <c r="G665" s="75"/>
      <c r="H665" s="20"/>
      <c r="I665" s="21"/>
    </row>
    <row r="666" spans="2:9" x14ac:dyDescent="0.3">
      <c r="B666" s="53"/>
      <c r="C666" s="14"/>
      <c r="D666" s="17"/>
      <c r="E666" s="22"/>
      <c r="F666" s="75"/>
      <c r="G666" s="75"/>
      <c r="H666" s="20"/>
      <c r="I666" s="21"/>
    </row>
    <row r="667" spans="2:9" x14ac:dyDescent="0.3">
      <c r="B667" s="53"/>
      <c r="C667" s="14"/>
      <c r="D667" s="17"/>
      <c r="E667" s="22"/>
      <c r="F667" s="75"/>
      <c r="G667" s="75"/>
      <c r="H667" s="20"/>
      <c r="I667" s="21"/>
    </row>
    <row r="668" spans="2:9" x14ac:dyDescent="0.3">
      <c r="B668" s="53"/>
      <c r="C668" s="14"/>
      <c r="D668" s="17"/>
      <c r="E668" s="22"/>
      <c r="F668" s="75"/>
      <c r="G668" s="75"/>
      <c r="H668" s="20"/>
      <c r="I668" s="21"/>
    </row>
    <row r="669" spans="2:9" x14ac:dyDescent="0.3">
      <c r="B669" s="53"/>
      <c r="C669" s="14"/>
      <c r="D669" s="17"/>
      <c r="E669" s="22"/>
      <c r="F669" s="75"/>
      <c r="G669" s="75"/>
      <c r="H669" s="20"/>
      <c r="I669" s="21"/>
    </row>
    <row r="670" spans="2:9" x14ac:dyDescent="0.3">
      <c r="B670" s="53"/>
      <c r="C670" s="14"/>
      <c r="D670" s="17"/>
      <c r="E670" s="22"/>
      <c r="F670" s="75"/>
      <c r="G670" s="75"/>
      <c r="H670" s="20"/>
      <c r="I670" s="21"/>
    </row>
    <row r="671" spans="2:9" x14ac:dyDescent="0.3">
      <c r="B671" s="53"/>
      <c r="C671" s="14"/>
      <c r="D671" s="17"/>
      <c r="E671" s="22"/>
      <c r="F671" s="75"/>
      <c r="G671" s="75"/>
      <c r="H671" s="20"/>
      <c r="I671" s="21"/>
    </row>
    <row r="672" spans="2:9" x14ac:dyDescent="0.3">
      <c r="B672" s="53"/>
      <c r="C672" s="14"/>
      <c r="D672" s="17"/>
      <c r="E672" s="22"/>
      <c r="F672" s="75"/>
      <c r="G672" s="75"/>
      <c r="H672" s="20"/>
      <c r="I672" s="21"/>
    </row>
    <row r="673" spans="2:9" x14ac:dyDescent="0.3">
      <c r="B673" s="53"/>
      <c r="C673" s="14"/>
      <c r="D673" s="17"/>
      <c r="E673" s="22"/>
      <c r="F673" s="75"/>
      <c r="G673" s="75"/>
      <c r="H673" s="20"/>
      <c r="I673" s="21"/>
    </row>
    <row r="674" spans="2:9" x14ac:dyDescent="0.3">
      <c r="B674" s="53"/>
      <c r="C674" s="14"/>
      <c r="D674" s="17"/>
      <c r="E674" s="22"/>
      <c r="F674" s="75"/>
      <c r="G674" s="75"/>
      <c r="H674" s="26"/>
      <c r="I674" s="21"/>
    </row>
    <row r="675" spans="2:9" x14ac:dyDescent="0.3">
      <c r="B675" s="53"/>
      <c r="C675" s="14"/>
      <c r="D675" s="17"/>
      <c r="E675" s="22"/>
    </row>
    <row r="676" spans="2:9" x14ac:dyDescent="0.3">
      <c r="B676" s="53"/>
      <c r="C676" s="14"/>
      <c r="D676" s="17"/>
      <c r="E676" s="22"/>
    </row>
    <row r="677" spans="2:9" s="79" customFormat="1" x14ac:dyDescent="0.3">
      <c r="B677" s="53"/>
      <c r="C677" s="14"/>
      <c r="D677" s="17"/>
      <c r="E677" s="22"/>
      <c r="H677" s="8"/>
      <c r="I677" s="13"/>
    </row>
    <row r="678" spans="2:9" s="79" customFormat="1" x14ac:dyDescent="0.3">
      <c r="B678" s="53"/>
      <c r="C678" s="14"/>
      <c r="D678" s="17"/>
      <c r="E678" s="22"/>
      <c r="H678" s="8"/>
      <c r="I678" s="13"/>
    </row>
    <row r="679" spans="2:9" s="79" customFormat="1" x14ac:dyDescent="0.3">
      <c r="B679" s="52"/>
      <c r="C679" s="16"/>
      <c r="D679" s="17"/>
      <c r="E679" s="22"/>
      <c r="H679" s="8"/>
      <c r="I679" s="13"/>
    </row>
    <row r="680" spans="2:9" s="79" customFormat="1" x14ac:dyDescent="0.3">
      <c r="B680" s="53"/>
      <c r="C680" s="14"/>
      <c r="D680" s="17"/>
      <c r="E680" s="22"/>
      <c r="H680" s="8"/>
      <c r="I680" s="13"/>
    </row>
    <row r="681" spans="2:9" s="79" customFormat="1" x14ac:dyDescent="0.3">
      <c r="B681" s="53"/>
      <c r="C681" s="14"/>
      <c r="D681" s="17"/>
      <c r="E681" s="22"/>
      <c r="H681" s="8"/>
      <c r="I681" s="13"/>
    </row>
    <row r="682" spans="2:9" s="79" customFormat="1" x14ac:dyDescent="0.3">
      <c r="B682" s="53"/>
      <c r="C682" s="14"/>
      <c r="D682" s="17"/>
      <c r="E682" s="22"/>
      <c r="H682" s="8"/>
      <c r="I682" s="13"/>
    </row>
    <row r="683" spans="2:9" s="79" customFormat="1" x14ac:dyDescent="0.3">
      <c r="B683" s="53"/>
      <c r="C683" s="14"/>
      <c r="D683" s="17"/>
      <c r="E683" s="22"/>
      <c r="H683" s="8"/>
      <c r="I683" s="13"/>
    </row>
    <row r="684" spans="2:9" s="79" customFormat="1" x14ac:dyDescent="0.3">
      <c r="B684" s="53"/>
      <c r="C684" s="14"/>
      <c r="D684" s="17"/>
      <c r="E684" s="22"/>
      <c r="H684" s="8"/>
      <c r="I684" s="13"/>
    </row>
    <row r="685" spans="2:9" s="79" customFormat="1" x14ac:dyDescent="0.3">
      <c r="B685" s="53"/>
      <c r="C685" s="14"/>
      <c r="D685" s="17"/>
      <c r="E685" s="22"/>
      <c r="H685" s="8"/>
      <c r="I685" s="13"/>
    </row>
    <row r="686" spans="2:9" s="79" customFormat="1" x14ac:dyDescent="0.3">
      <c r="B686" s="53"/>
      <c r="C686" s="14"/>
      <c r="D686" s="17"/>
      <c r="E686" s="22"/>
      <c r="H686" s="8"/>
      <c r="I686" s="13"/>
    </row>
    <row r="687" spans="2:9" s="79" customFormat="1" x14ac:dyDescent="0.3">
      <c r="B687" s="53"/>
      <c r="C687" s="14"/>
      <c r="D687" s="17"/>
      <c r="E687" s="22"/>
      <c r="H687" s="8"/>
      <c r="I687" s="13"/>
    </row>
    <row r="688" spans="2:9" s="79" customFormat="1" x14ac:dyDescent="0.3">
      <c r="B688" s="53"/>
      <c r="C688" s="14"/>
      <c r="D688" s="17"/>
      <c r="E688" s="22"/>
      <c r="H688" s="8"/>
      <c r="I688" s="13"/>
    </row>
    <row r="689" spans="2:9" s="79" customFormat="1" x14ac:dyDescent="0.3">
      <c r="B689" s="53"/>
      <c r="C689" s="14"/>
      <c r="D689" s="17"/>
      <c r="E689" s="22"/>
      <c r="H689" s="8"/>
      <c r="I689" s="13"/>
    </row>
    <row r="690" spans="2:9" s="79" customFormat="1" x14ac:dyDescent="0.3">
      <c r="B690" s="53"/>
      <c r="C690" s="14"/>
      <c r="D690" s="17"/>
      <c r="E690" s="22"/>
      <c r="H690" s="8"/>
      <c r="I690" s="13"/>
    </row>
    <row r="691" spans="2:9" s="79" customFormat="1" x14ac:dyDescent="0.3">
      <c r="B691" s="53"/>
      <c r="C691" s="14"/>
      <c r="D691" s="17"/>
      <c r="E691" s="22"/>
      <c r="H691" s="8"/>
      <c r="I691" s="13"/>
    </row>
    <row r="692" spans="2:9" s="79" customFormat="1" x14ac:dyDescent="0.3">
      <c r="B692" s="53"/>
      <c r="C692" s="14"/>
      <c r="D692" s="17"/>
      <c r="E692" s="22"/>
      <c r="H692" s="8"/>
      <c r="I692" s="13"/>
    </row>
    <row r="693" spans="2:9" s="79" customFormat="1" x14ac:dyDescent="0.3">
      <c r="B693" s="53"/>
      <c r="C693" s="14"/>
      <c r="D693" s="17"/>
      <c r="E693" s="22"/>
      <c r="H693" s="8"/>
      <c r="I693" s="13"/>
    </row>
    <row r="694" spans="2:9" s="79" customFormat="1" x14ac:dyDescent="0.3">
      <c r="B694" s="53"/>
      <c r="C694" s="14"/>
      <c r="D694" s="17"/>
      <c r="E694" s="22"/>
      <c r="H694" s="8"/>
      <c r="I694" s="13"/>
    </row>
    <row r="695" spans="2:9" s="79" customFormat="1" x14ac:dyDescent="0.3">
      <c r="B695" s="53"/>
      <c r="C695" s="14"/>
      <c r="D695" s="17"/>
      <c r="E695" s="22"/>
      <c r="H695" s="8"/>
      <c r="I695" s="13"/>
    </row>
    <row r="696" spans="2:9" s="79" customFormat="1" x14ac:dyDescent="0.3">
      <c r="B696" s="53"/>
      <c r="C696" s="14"/>
      <c r="D696" s="17"/>
      <c r="E696" s="22"/>
      <c r="H696" s="8"/>
      <c r="I696" s="13"/>
    </row>
    <row r="697" spans="2:9" s="79" customFormat="1" x14ac:dyDescent="0.3">
      <c r="B697" s="53"/>
      <c r="C697" s="14"/>
      <c r="D697" s="17"/>
      <c r="E697" s="22"/>
      <c r="H697" s="8"/>
      <c r="I697" s="13"/>
    </row>
    <row r="698" spans="2:9" s="79" customFormat="1" x14ac:dyDescent="0.3">
      <c r="B698" s="53"/>
      <c r="C698" s="14"/>
      <c r="D698" s="17"/>
      <c r="E698" s="22"/>
      <c r="H698" s="8"/>
      <c r="I698" s="13"/>
    </row>
    <row r="699" spans="2:9" s="79" customFormat="1" x14ac:dyDescent="0.3">
      <c r="B699" s="53"/>
      <c r="C699" s="14"/>
      <c r="D699" s="17"/>
      <c r="E699" s="22"/>
      <c r="H699" s="8"/>
      <c r="I699" s="13"/>
    </row>
    <row r="700" spans="2:9" s="79" customFormat="1" x14ac:dyDescent="0.3">
      <c r="B700" s="52"/>
      <c r="C700" s="16"/>
      <c r="D700" s="17"/>
      <c r="E700" s="22"/>
      <c r="H700" s="8"/>
      <c r="I700" s="13"/>
    </row>
    <row r="701" spans="2:9" s="79" customFormat="1" x14ac:dyDescent="0.3">
      <c r="B701" s="53"/>
      <c r="C701" s="14"/>
      <c r="D701" s="17"/>
      <c r="E701" s="22"/>
      <c r="H701" s="8"/>
      <c r="I701" s="13"/>
    </row>
    <row r="702" spans="2:9" s="79" customFormat="1" x14ac:dyDescent="0.3">
      <c r="B702" s="53"/>
      <c r="C702" s="14"/>
      <c r="D702" s="17"/>
      <c r="E702" s="22"/>
      <c r="H702" s="8"/>
      <c r="I702" s="13"/>
    </row>
    <row r="703" spans="2:9" s="79" customFormat="1" x14ac:dyDescent="0.3">
      <c r="B703" s="53"/>
      <c r="C703" s="14"/>
      <c r="D703" s="17"/>
      <c r="E703" s="22"/>
      <c r="H703" s="8"/>
      <c r="I703" s="13"/>
    </row>
    <row r="704" spans="2:9" s="79" customFormat="1" x14ac:dyDescent="0.3">
      <c r="B704" s="53"/>
      <c r="C704" s="14"/>
      <c r="D704" s="17"/>
      <c r="E704" s="22"/>
      <c r="H704" s="8"/>
      <c r="I704" s="13"/>
    </row>
    <row r="705" spans="2:9" s="79" customFormat="1" x14ac:dyDescent="0.3">
      <c r="B705" s="53"/>
      <c r="C705" s="14"/>
      <c r="D705" s="17"/>
      <c r="E705" s="22"/>
      <c r="H705" s="8"/>
      <c r="I705" s="13"/>
    </row>
    <row r="706" spans="2:9" s="79" customFormat="1" x14ac:dyDescent="0.3">
      <c r="B706" s="53"/>
      <c r="C706" s="14"/>
      <c r="D706" s="17"/>
      <c r="E706" s="22"/>
      <c r="H706" s="8"/>
      <c r="I706" s="13"/>
    </row>
    <row r="707" spans="2:9" s="79" customFormat="1" x14ac:dyDescent="0.3">
      <c r="B707" s="53"/>
      <c r="C707" s="14"/>
      <c r="D707" s="17"/>
      <c r="E707" s="22"/>
      <c r="H707" s="8"/>
      <c r="I707" s="13"/>
    </row>
    <row r="708" spans="2:9" s="79" customFormat="1" x14ac:dyDescent="0.3">
      <c r="B708" s="53"/>
      <c r="C708" s="14"/>
      <c r="D708" s="17"/>
      <c r="E708" s="22"/>
      <c r="H708" s="8"/>
      <c r="I708" s="13"/>
    </row>
    <row r="709" spans="2:9" s="79" customFormat="1" x14ac:dyDescent="0.3">
      <c r="B709" s="52"/>
      <c r="C709" s="16"/>
      <c r="D709" s="17"/>
      <c r="E709" s="22"/>
      <c r="H709" s="8"/>
      <c r="I709" s="13"/>
    </row>
    <row r="710" spans="2:9" s="79" customFormat="1" x14ac:dyDescent="0.3">
      <c r="B710" s="53"/>
      <c r="C710" s="14"/>
      <c r="D710" s="17"/>
      <c r="E710" s="22"/>
      <c r="H710" s="8"/>
      <c r="I710" s="13"/>
    </row>
    <row r="711" spans="2:9" s="79" customFormat="1" x14ac:dyDescent="0.3">
      <c r="B711" s="53"/>
      <c r="C711" s="14"/>
      <c r="D711" s="17"/>
      <c r="E711" s="22"/>
      <c r="H711" s="8"/>
      <c r="I711" s="13"/>
    </row>
    <row r="712" spans="2:9" s="79" customFormat="1" x14ac:dyDescent="0.3">
      <c r="B712" s="52"/>
      <c r="C712" s="16"/>
      <c r="D712" s="17"/>
      <c r="E712" s="22"/>
      <c r="H712" s="8"/>
      <c r="I712" s="13"/>
    </row>
    <row r="713" spans="2:9" s="79" customFormat="1" x14ac:dyDescent="0.3">
      <c r="B713" s="53"/>
      <c r="C713" s="14"/>
      <c r="D713" s="17"/>
      <c r="E713" s="22"/>
      <c r="H713" s="8"/>
      <c r="I713" s="13"/>
    </row>
    <row r="714" spans="2:9" s="79" customFormat="1" x14ac:dyDescent="0.3">
      <c r="B714" s="53"/>
      <c r="C714" s="14"/>
      <c r="D714" s="17"/>
      <c r="E714" s="22"/>
      <c r="H714" s="8"/>
      <c r="I714" s="13"/>
    </row>
    <row r="715" spans="2:9" s="79" customFormat="1" x14ac:dyDescent="0.3">
      <c r="B715" s="55"/>
      <c r="C715" s="83"/>
      <c r="D715" s="17"/>
      <c r="E715" s="22"/>
      <c r="H715" s="8"/>
      <c r="I715" s="13"/>
    </row>
    <row r="716" spans="2:9" s="79" customFormat="1" x14ac:dyDescent="0.3">
      <c r="B716" s="53"/>
      <c r="C716" s="14"/>
      <c r="D716" s="17"/>
      <c r="E716" s="22"/>
      <c r="H716" s="8"/>
      <c r="I716" s="13"/>
    </row>
    <row r="717" spans="2:9" s="79" customFormat="1" x14ac:dyDescent="0.3">
      <c r="B717" s="53"/>
      <c r="C717" s="14"/>
      <c r="D717" s="17"/>
      <c r="E717" s="22"/>
      <c r="H717" s="8"/>
      <c r="I717" s="13"/>
    </row>
    <row r="718" spans="2:9" s="79" customFormat="1" x14ac:dyDescent="0.3">
      <c r="B718" s="53"/>
      <c r="C718" s="14"/>
      <c r="D718" s="17"/>
      <c r="E718" s="22"/>
      <c r="H718" s="8"/>
      <c r="I718" s="13"/>
    </row>
    <row r="719" spans="2:9" s="79" customFormat="1" x14ac:dyDescent="0.3">
      <c r="B719" s="53"/>
      <c r="C719" s="14"/>
      <c r="D719" s="17"/>
      <c r="E719" s="22"/>
      <c r="H719" s="8"/>
      <c r="I719" s="13"/>
    </row>
    <row r="720" spans="2:9" s="79" customFormat="1" x14ac:dyDescent="0.3">
      <c r="B720" s="52"/>
      <c r="C720" s="16"/>
      <c r="D720" s="17"/>
      <c r="E720" s="22"/>
      <c r="H720" s="8"/>
      <c r="I720" s="13"/>
    </row>
    <row r="721" spans="2:9" s="79" customFormat="1" x14ac:dyDescent="0.3">
      <c r="B721" s="53"/>
      <c r="C721" s="14"/>
      <c r="D721" s="17"/>
      <c r="E721" s="22"/>
      <c r="H721" s="8"/>
      <c r="I721" s="13"/>
    </row>
    <row r="722" spans="2:9" s="79" customFormat="1" x14ac:dyDescent="0.3">
      <c r="B722" s="53"/>
      <c r="C722" s="14"/>
      <c r="D722" s="17"/>
      <c r="E722" s="22"/>
      <c r="H722" s="8"/>
      <c r="I722" s="13"/>
    </row>
    <row r="723" spans="2:9" s="79" customFormat="1" x14ac:dyDescent="0.3">
      <c r="B723" s="53"/>
      <c r="C723" s="14"/>
      <c r="D723" s="17"/>
      <c r="E723" s="22"/>
      <c r="H723" s="8"/>
      <c r="I723" s="13"/>
    </row>
    <row r="724" spans="2:9" s="79" customFormat="1" x14ac:dyDescent="0.3">
      <c r="B724" s="53"/>
      <c r="C724" s="14"/>
      <c r="D724" s="17"/>
      <c r="E724" s="22"/>
      <c r="H724" s="8"/>
      <c r="I724" s="13"/>
    </row>
    <row r="725" spans="2:9" s="79" customFormat="1" x14ac:dyDescent="0.3">
      <c r="B725" s="52"/>
      <c r="C725" s="16"/>
      <c r="D725" s="17"/>
      <c r="E725" s="22"/>
      <c r="H725" s="8"/>
      <c r="I725" s="13"/>
    </row>
    <row r="726" spans="2:9" s="79" customFormat="1" x14ac:dyDescent="0.3">
      <c r="B726" s="53"/>
      <c r="C726" s="14"/>
      <c r="D726" s="17"/>
      <c r="E726" s="22"/>
      <c r="H726" s="8"/>
      <c r="I726" s="13"/>
    </row>
    <row r="727" spans="2:9" s="79" customFormat="1" x14ac:dyDescent="0.3">
      <c r="B727" s="53"/>
      <c r="C727" s="14"/>
      <c r="D727" s="17"/>
      <c r="E727" s="22"/>
      <c r="H727" s="8"/>
      <c r="I727" s="13"/>
    </row>
    <row r="728" spans="2:9" s="79" customFormat="1" x14ac:dyDescent="0.3">
      <c r="B728" s="52"/>
      <c r="C728" s="16"/>
      <c r="D728" s="17"/>
      <c r="E728" s="22"/>
      <c r="H728" s="8"/>
      <c r="I728" s="13"/>
    </row>
    <row r="729" spans="2:9" s="79" customFormat="1" x14ac:dyDescent="0.3">
      <c r="B729" s="53"/>
      <c r="C729" s="14"/>
      <c r="D729" s="17"/>
      <c r="E729" s="22"/>
      <c r="H729" s="8"/>
      <c r="I729" s="13"/>
    </row>
    <row r="730" spans="2:9" s="79" customFormat="1" x14ac:dyDescent="0.3">
      <c r="B730" s="52"/>
      <c r="C730" s="16"/>
      <c r="D730" s="17"/>
      <c r="E730" s="22"/>
      <c r="H730" s="8"/>
      <c r="I730" s="13"/>
    </row>
    <row r="731" spans="2:9" s="79" customFormat="1" x14ac:dyDescent="0.3">
      <c r="B731" s="53"/>
      <c r="C731" s="14"/>
      <c r="D731" s="17"/>
      <c r="E731" s="22"/>
      <c r="H731" s="8"/>
      <c r="I731" s="13"/>
    </row>
    <row r="732" spans="2:9" s="79" customFormat="1" x14ac:dyDescent="0.3">
      <c r="B732" s="52"/>
      <c r="C732" s="16"/>
      <c r="D732" s="17"/>
      <c r="E732" s="22"/>
      <c r="H732" s="8"/>
      <c r="I732" s="13"/>
    </row>
    <row r="733" spans="2:9" s="79" customFormat="1" x14ac:dyDescent="0.3">
      <c r="B733" s="53"/>
      <c r="C733" s="14"/>
      <c r="D733" s="17"/>
      <c r="E733" s="22"/>
      <c r="H733" s="8"/>
      <c r="I733" s="13"/>
    </row>
    <row r="734" spans="2:9" s="79" customFormat="1" x14ac:dyDescent="0.3">
      <c r="B734" s="53"/>
      <c r="C734" s="14"/>
      <c r="D734" s="17"/>
      <c r="E734" s="22"/>
      <c r="H734" s="8"/>
      <c r="I734" s="13"/>
    </row>
    <row r="735" spans="2:9" s="79" customFormat="1" x14ac:dyDescent="0.3">
      <c r="B735" s="52"/>
      <c r="C735" s="16"/>
      <c r="D735" s="17"/>
      <c r="E735" s="22"/>
      <c r="H735" s="8"/>
      <c r="I735" s="13"/>
    </row>
    <row r="736" spans="2:9" s="79" customFormat="1" x14ac:dyDescent="0.3">
      <c r="B736" s="53"/>
      <c r="C736" s="14"/>
      <c r="D736" s="17"/>
      <c r="E736" s="22"/>
      <c r="H736" s="8"/>
      <c r="I736" s="13"/>
    </row>
    <row r="737" spans="2:9" s="79" customFormat="1" x14ac:dyDescent="0.3">
      <c r="B737" s="52"/>
      <c r="C737" s="16"/>
      <c r="D737" s="17"/>
      <c r="E737" s="22"/>
      <c r="H737" s="8"/>
      <c r="I737" s="13"/>
    </row>
    <row r="738" spans="2:9" s="79" customFormat="1" x14ac:dyDescent="0.3">
      <c r="B738" s="53"/>
      <c r="C738" s="14"/>
      <c r="D738" s="17"/>
      <c r="E738" s="22"/>
      <c r="H738" s="8"/>
      <c r="I738" s="13"/>
    </row>
    <row r="739" spans="2:9" s="79" customFormat="1" x14ac:dyDescent="0.3">
      <c r="B739" s="52"/>
      <c r="C739" s="16"/>
      <c r="D739" s="17"/>
      <c r="E739" s="22"/>
      <c r="H739" s="8"/>
      <c r="I739" s="13"/>
    </row>
    <row r="740" spans="2:9" s="79" customFormat="1" x14ac:dyDescent="0.3">
      <c r="B740" s="53"/>
      <c r="C740" s="14"/>
      <c r="D740" s="17"/>
      <c r="E740" s="22"/>
      <c r="H740" s="8"/>
      <c r="I740" s="13"/>
    </row>
    <row r="741" spans="2:9" s="79" customFormat="1" x14ac:dyDescent="0.3">
      <c r="B741" s="53"/>
      <c r="C741" s="14"/>
      <c r="D741" s="17"/>
      <c r="E741" s="22"/>
      <c r="H741" s="8"/>
      <c r="I741" s="13"/>
    </row>
    <row r="742" spans="2:9" s="79" customFormat="1" x14ac:dyDescent="0.3">
      <c r="B742" s="53"/>
      <c r="C742" s="14"/>
      <c r="D742" s="17"/>
      <c r="E742" s="22"/>
      <c r="H742" s="8"/>
      <c r="I742" s="13"/>
    </row>
    <row r="743" spans="2:9" s="79" customFormat="1" x14ac:dyDescent="0.3">
      <c r="B743" s="53"/>
      <c r="C743" s="14"/>
      <c r="D743" s="17"/>
      <c r="E743" s="22"/>
      <c r="H743" s="8"/>
      <c r="I743" s="13"/>
    </row>
    <row r="744" spans="2:9" s="79" customFormat="1" x14ac:dyDescent="0.3">
      <c r="B744" s="53"/>
      <c r="C744" s="14"/>
      <c r="D744" s="17"/>
      <c r="E744" s="22"/>
      <c r="H744" s="8"/>
      <c r="I744" s="13"/>
    </row>
    <row r="745" spans="2:9" s="79" customFormat="1" x14ac:dyDescent="0.3">
      <c r="B745" s="53"/>
      <c r="C745" s="14"/>
      <c r="D745" s="17"/>
      <c r="E745" s="22"/>
      <c r="H745" s="8"/>
      <c r="I745" s="13"/>
    </row>
    <row r="746" spans="2:9" s="79" customFormat="1" x14ac:dyDescent="0.3">
      <c r="B746" s="53"/>
      <c r="C746" s="14"/>
      <c r="D746" s="17"/>
      <c r="E746" s="22"/>
      <c r="H746" s="8"/>
      <c r="I746" s="13"/>
    </row>
    <row r="747" spans="2:9" s="79" customFormat="1" x14ac:dyDescent="0.3">
      <c r="B747" s="53"/>
      <c r="C747" s="14"/>
      <c r="D747" s="17"/>
      <c r="E747" s="22"/>
      <c r="H747" s="8"/>
      <c r="I747" s="13"/>
    </row>
    <row r="748" spans="2:9" s="79" customFormat="1" x14ac:dyDescent="0.3">
      <c r="B748" s="53"/>
      <c r="C748" s="14"/>
      <c r="D748" s="17"/>
      <c r="E748" s="22"/>
      <c r="H748" s="8"/>
      <c r="I748" s="13"/>
    </row>
    <row r="749" spans="2:9" s="79" customFormat="1" x14ac:dyDescent="0.3">
      <c r="B749" s="53"/>
      <c r="C749" s="14"/>
      <c r="D749" s="17"/>
      <c r="E749" s="22"/>
      <c r="H749" s="8"/>
      <c r="I749" s="13"/>
    </row>
    <row r="750" spans="2:9" s="79" customFormat="1" x14ac:dyDescent="0.3">
      <c r="B750" s="53"/>
      <c r="C750" s="14"/>
      <c r="D750" s="17"/>
      <c r="E750" s="22"/>
      <c r="H750" s="8"/>
      <c r="I750" s="13"/>
    </row>
    <row r="751" spans="2:9" s="79" customFormat="1" x14ac:dyDescent="0.3">
      <c r="B751" s="53"/>
      <c r="C751" s="14"/>
      <c r="D751" s="17"/>
      <c r="E751" s="22"/>
      <c r="H751" s="8"/>
      <c r="I751" s="13"/>
    </row>
    <row r="752" spans="2:9" s="79" customFormat="1" x14ac:dyDescent="0.3">
      <c r="B752" s="53"/>
      <c r="C752" s="14"/>
      <c r="D752" s="17"/>
      <c r="E752" s="22"/>
      <c r="H752" s="8"/>
      <c r="I752" s="13"/>
    </row>
    <row r="753" spans="2:9" s="79" customFormat="1" x14ac:dyDescent="0.3">
      <c r="B753" s="52"/>
      <c r="C753" s="16"/>
      <c r="D753" s="17"/>
      <c r="E753" s="22"/>
      <c r="H753" s="8"/>
      <c r="I753" s="13"/>
    </row>
    <row r="754" spans="2:9" s="79" customFormat="1" x14ac:dyDescent="0.3">
      <c r="B754" s="53"/>
      <c r="C754" s="14"/>
      <c r="D754" s="17"/>
      <c r="E754" s="22"/>
      <c r="H754" s="8"/>
      <c r="I754" s="13"/>
    </row>
    <row r="755" spans="2:9" s="79" customFormat="1" x14ac:dyDescent="0.3">
      <c r="B755" s="52"/>
      <c r="C755" s="16"/>
      <c r="D755" s="17"/>
      <c r="E755" s="22"/>
      <c r="H755" s="8"/>
      <c r="I755" s="13"/>
    </row>
    <row r="756" spans="2:9" s="79" customFormat="1" x14ac:dyDescent="0.3">
      <c r="B756" s="53"/>
      <c r="C756" s="14"/>
      <c r="D756" s="17"/>
      <c r="E756" s="22"/>
      <c r="H756" s="8"/>
      <c r="I756" s="13"/>
    </row>
    <row r="757" spans="2:9" s="79" customFormat="1" x14ac:dyDescent="0.3">
      <c r="B757" s="53"/>
      <c r="C757" s="14"/>
      <c r="D757" s="17"/>
      <c r="E757" s="22"/>
      <c r="H757" s="8"/>
      <c r="I757" s="13"/>
    </row>
    <row r="758" spans="2:9" s="79" customFormat="1" x14ac:dyDescent="0.3">
      <c r="B758" s="53"/>
      <c r="C758" s="14"/>
      <c r="D758" s="17"/>
      <c r="E758" s="22"/>
      <c r="H758" s="8"/>
      <c r="I758" s="13"/>
    </row>
    <row r="759" spans="2:9" s="79" customFormat="1" x14ac:dyDescent="0.3">
      <c r="B759" s="53"/>
      <c r="C759" s="14"/>
      <c r="D759" s="17"/>
      <c r="E759" s="22"/>
      <c r="H759" s="8"/>
      <c r="I759" s="13"/>
    </row>
    <row r="760" spans="2:9" s="79" customFormat="1" x14ac:dyDescent="0.3">
      <c r="B760" s="53"/>
      <c r="C760" s="14"/>
      <c r="D760" s="17"/>
      <c r="E760" s="22"/>
      <c r="H760" s="8"/>
      <c r="I760" s="13"/>
    </row>
    <row r="761" spans="2:9" s="79" customFormat="1" x14ac:dyDescent="0.3">
      <c r="B761" s="53"/>
      <c r="C761" s="14"/>
      <c r="D761" s="17"/>
      <c r="E761" s="22"/>
      <c r="H761" s="8"/>
      <c r="I761" s="13"/>
    </row>
    <row r="762" spans="2:9" s="79" customFormat="1" x14ac:dyDescent="0.3">
      <c r="B762" s="53"/>
      <c r="C762" s="14"/>
      <c r="D762" s="17"/>
      <c r="E762" s="22"/>
      <c r="H762" s="8"/>
      <c r="I762" s="13"/>
    </row>
  </sheetData>
  <mergeCells count="11">
    <mergeCell ref="I6:I7"/>
    <mergeCell ref="B2:C2"/>
    <mergeCell ref="B3:C3"/>
    <mergeCell ref="B5:H5"/>
    <mergeCell ref="B6:B7"/>
    <mergeCell ref="C6:C7"/>
    <mergeCell ref="D6:D7"/>
    <mergeCell ref="E6:E7"/>
    <mergeCell ref="F6:F7"/>
    <mergeCell ref="G6:G7"/>
    <mergeCell ref="H6:H7"/>
  </mergeCells>
  <printOptions horizontalCentered="1"/>
  <pageMargins left="0.23622047244094491" right="0.23622047244094491" top="0.15748031496062992" bottom="0.19685039370078741" header="0.31496062992125984" footer="0.31496062992125984"/>
  <pageSetup paperSize="9" scale="46" orientation="portrait" r:id="rId1"/>
  <rowBreaks count="2" manualBreakCount="2">
    <brk id="362" min="1" max="13" man="1"/>
    <brk id="476" min="1" max="1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EBFBC6D6D4B104DB1D398E59C488B99" ma:contentTypeVersion="11" ma:contentTypeDescription="Criar um novo documento." ma:contentTypeScope="" ma:versionID="65a0aed92360d3a1b481206908fc5d74">
  <xsd:schema xmlns:xsd="http://www.w3.org/2001/XMLSchema" xmlns:xs="http://www.w3.org/2001/XMLSchema" xmlns:p="http://schemas.microsoft.com/office/2006/metadata/properties" xmlns:ns2="4347ee74-187d-430e-acc9-85262c7fc174" xmlns:ns3="0b9640ff-0f1f-4903-b49a-f44fdf6e38ae" targetNamespace="http://schemas.microsoft.com/office/2006/metadata/properties" ma:root="true" ma:fieldsID="0ed9fb4149bab6c883121c8d9f13bc20" ns2:_="" ns3:_="">
    <xsd:import namespace="4347ee74-187d-430e-acc9-85262c7fc174"/>
    <xsd:import namespace="0b9640ff-0f1f-4903-b49a-f44fdf6e38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47ee74-187d-430e-acc9-85262c7fc1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93f449cc-063f-4890-80cb-d4bc6853fdc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9640ff-0f1f-4903-b49a-f44fdf6e38a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94ccd394-a227-4d03-907e-6290f55866b6}" ma:internalName="TaxCatchAll" ma:showField="CatchAllData" ma:web="0b9640ff-0f1f-4903-b49a-f44fdf6e38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347ee74-187d-430e-acc9-85262c7fc174">
      <Terms xmlns="http://schemas.microsoft.com/office/infopath/2007/PartnerControls"/>
    </lcf76f155ced4ddcb4097134ff3c332f>
    <TaxCatchAll xmlns="0b9640ff-0f1f-4903-b49a-f44fdf6e38a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393060-6531-4F37-9BBE-65EDC3AEDE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47ee74-187d-430e-acc9-85262c7fc174"/>
    <ds:schemaRef ds:uri="0b9640ff-0f1f-4903-b49a-f44fdf6e38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A7A17D5-252A-4252-972B-354D6F74FE8A}">
  <ds:schemaRefs>
    <ds:schemaRef ds:uri="http://schemas.microsoft.com/office/2006/metadata/properties"/>
    <ds:schemaRef ds:uri="http://schemas.microsoft.com/office/infopath/2007/PartnerControls"/>
    <ds:schemaRef ds:uri="4347ee74-187d-430e-acc9-85262c7fc174"/>
    <ds:schemaRef ds:uri="0b9640ff-0f1f-4903-b49a-f44fdf6e38ae"/>
  </ds:schemaRefs>
</ds:datastoreItem>
</file>

<file path=customXml/itemProps3.xml><?xml version="1.0" encoding="utf-8"?>
<ds:datastoreItem xmlns:ds="http://schemas.openxmlformats.org/officeDocument/2006/customXml" ds:itemID="{E5FF9FD3-9ADC-4810-B912-F1D84D2CAB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2</vt:i4>
      </vt:variant>
      <vt:variant>
        <vt:lpstr>Intervalos com Nome</vt:lpstr>
      </vt:variant>
      <vt:variant>
        <vt:i4>2</vt:i4>
      </vt:variant>
    </vt:vector>
  </HeadingPairs>
  <TitlesOfParts>
    <vt:vector size="4" baseType="lpstr">
      <vt:lpstr>MQT</vt:lpstr>
      <vt:lpstr>ESTIMATIVA GLOBAL</vt:lpstr>
      <vt:lpstr>'ESTIMATIVA GLOBAL'!Área_de_Impressão</vt:lpstr>
      <vt:lpstr>MQT!Área_de_Impressão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Ema Gouveia</dc:creator>
  <cp:keywords/>
  <dc:description/>
  <cp:lastModifiedBy>Emanuel Silva</cp:lastModifiedBy>
  <cp:revision/>
  <cp:lastPrinted>2026-06-17T09:03:06Z</cp:lastPrinted>
  <dcterms:created xsi:type="dcterms:W3CDTF">2024-06-19T09:23:29Z</dcterms:created>
  <dcterms:modified xsi:type="dcterms:W3CDTF">2026-08-12T11:41:57Z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0x0101007EBFBC6D6D4B104DB1D398E59C488B99</vt:lpwstr>
  </property>
  <property fmtid="{D5CDD505-2E9C-101B-9397-08002B2CF9AE}" pid="3" name="MediaServiceImageTags">
    <vt:lpwstr/>
  </property>
</Properties>
</file>