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codeName="EsteLivro"/>
  <xr:revisionPtr revIDLastSave="45" documentId="13_ncr:1_{79C904D7-7118-45D9-B534-8AAA2AF2E274}" xr6:coauthVersionLast="47" xr6:coauthVersionMax="47" xr10:uidLastSave="{C4D1DB0E-AA3C-451E-A107-8BD571C44DEE}"/>
  <bookViews>
    <workbookView xWindow="28680" yWindow="-120" windowWidth="29040" windowHeight="15720" xr2:uid="{00000000-000D-0000-FFFF-FFFF00000000}"/>
  </bookViews>
  <sheets>
    <sheet name="Ficha Eletrotecnica" sheetId="1" r:id="rId1"/>
    <sheet name="Dados" sheetId="2" state="hidden" r:id="rId2"/>
  </sheets>
  <definedNames>
    <definedName name="_xlnm.Print_Area" localSheetId="0">'Ficha Eletrotecnica'!$B$2:$R$53</definedName>
    <definedName name="_xlnm.Print_Titles" localSheetId="0">'Ficha Eletrotecnica'!$1:$3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" i="1" l="1"/>
  <c r="R28" i="1" l="1"/>
  <c r="R31" i="1"/>
  <c r="R32" i="1"/>
  <c r="R33" i="1"/>
  <c r="R34" i="1"/>
  <c r="I40" i="1" l="1"/>
  <c r="Q34" i="1" l="1"/>
  <c r="R29" i="1"/>
  <c r="Q30" i="1"/>
  <c r="R30" i="1" s="1"/>
  <c r="Q31" i="1"/>
  <c r="Q32" i="1"/>
  <c r="Q33" i="1"/>
  <c r="Q28" i="1"/>
  <c r="I42" i="1"/>
  <c r="I44" i="1" l="1"/>
</calcChain>
</file>

<file path=xl/sharedStrings.xml><?xml version="1.0" encoding="utf-8"?>
<sst xmlns="http://schemas.openxmlformats.org/spreadsheetml/2006/main" count="191" uniqueCount="175">
  <si>
    <t>Nome:</t>
  </si>
  <si>
    <t>Telefone:</t>
  </si>
  <si>
    <t>E-Mail:</t>
  </si>
  <si>
    <t>NIF/NIPC:</t>
  </si>
  <si>
    <t>Morada:</t>
  </si>
  <si>
    <t>C. Postal:</t>
  </si>
  <si>
    <t xml:space="preserve">2 - Técnico Responsável </t>
  </si>
  <si>
    <t>NIF:</t>
  </si>
  <si>
    <t>N.º DGEG:</t>
  </si>
  <si>
    <t>Freguesia:</t>
  </si>
  <si>
    <t>Concelho:</t>
  </si>
  <si>
    <t>Distrito:</t>
  </si>
  <si>
    <t>Coordenadas GPS:</t>
  </si>
  <si>
    <t>Descrição do Imóvel:</t>
  </si>
  <si>
    <t>Total Ramais:</t>
  </si>
  <si>
    <t>5 - Instalação Eletrica</t>
  </si>
  <si>
    <t>Entrada
do
Imóvel</t>
  </si>
  <si>
    <t>Andar</t>
  </si>
  <si>
    <t>Entrada</t>
  </si>
  <si>
    <t>Total Instalado
(kVA)</t>
  </si>
  <si>
    <t>Potência a Alimentar (kVA)</t>
  </si>
  <si>
    <t>C</t>
  </si>
  <si>
    <t>E1</t>
  </si>
  <si>
    <t>Nova</t>
  </si>
  <si>
    <t>Trif</t>
  </si>
  <si>
    <t>Tipo de Prédio</t>
  </si>
  <si>
    <t>Estabelecimentos agrícolas ou pecuários</t>
  </si>
  <si>
    <t>Adega</t>
  </si>
  <si>
    <t>Colectivo</t>
  </si>
  <si>
    <t>Estabelecimentos Industriais</t>
  </si>
  <si>
    <t>Antena de comunicações</t>
  </si>
  <si>
    <t>Unifamiliar</t>
  </si>
  <si>
    <t>Estabelecimentos recebendo público</t>
  </si>
  <si>
    <t>Armário via pública</t>
  </si>
  <si>
    <t>Eventual</t>
  </si>
  <si>
    <t>Edifícios do tipo administrativo</t>
  </si>
  <si>
    <t>Armazém</t>
  </si>
  <si>
    <t>Iluminação Pública</t>
  </si>
  <si>
    <t>Edifícios escolares</t>
  </si>
  <si>
    <t>Armazém frigorífico</t>
  </si>
  <si>
    <t>Outros</t>
  </si>
  <si>
    <t>Edifícios hospitalares</t>
  </si>
  <si>
    <t>Arrumos</t>
  </si>
  <si>
    <t>P.Transf. Dist. (PTD)</t>
  </si>
  <si>
    <t>Empreendimentos turísticos e similares</t>
  </si>
  <si>
    <t>Associação/Clube/Coletividade</t>
  </si>
  <si>
    <t>Condominio Fechado</t>
  </si>
  <si>
    <t>Estabelecimentos comerciais</t>
  </si>
  <si>
    <t>Banco</t>
  </si>
  <si>
    <t>Obras</t>
  </si>
  <si>
    <t>Recintos de espetáculos e divertimento público fechados</t>
  </si>
  <si>
    <t>Cemitério</t>
  </si>
  <si>
    <t>Recintos de espetáculos e divertimentos públicos ao ar livre</t>
  </si>
  <si>
    <t>Centro de Saúde</t>
  </si>
  <si>
    <t>Parques de estacionamento cobertos</t>
  </si>
  <si>
    <t>Clínica</t>
  </si>
  <si>
    <t>Estabelecimentos de culto</t>
  </si>
  <si>
    <t>Dependência militar</t>
  </si>
  <si>
    <t>Locais afetos a serviços técnicos</t>
  </si>
  <si>
    <t>Edifício de administração pública</t>
  </si>
  <si>
    <t>Locais de habitação</t>
  </si>
  <si>
    <t>Edifício escolar</t>
  </si>
  <si>
    <t>Edifício religioso</t>
  </si>
  <si>
    <t>Tipo da Instalação</t>
  </si>
  <si>
    <t>Escritório</t>
  </si>
  <si>
    <t>Validação</t>
  </si>
  <si>
    <t>Estação de regulação e medida de gás</t>
  </si>
  <si>
    <t>A</t>
  </si>
  <si>
    <t>Estação de tratamento de águas residuais</t>
  </si>
  <si>
    <t>SIM</t>
  </si>
  <si>
    <t>B</t>
  </si>
  <si>
    <t>Estação Elevatória</t>
  </si>
  <si>
    <t>NÃO</t>
  </si>
  <si>
    <t>Estufa</t>
  </si>
  <si>
    <t>Hospital</t>
  </si>
  <si>
    <t>Hotel</t>
  </si>
  <si>
    <t>Indústria</t>
  </si>
  <si>
    <t>Infantário</t>
  </si>
  <si>
    <t>Instalação de produção animal</t>
  </si>
  <si>
    <t>Mono</t>
  </si>
  <si>
    <t>Lar</t>
  </si>
  <si>
    <t>Local Comercial</t>
  </si>
  <si>
    <t>Marina</t>
  </si>
  <si>
    <t>Instalação</t>
  </si>
  <si>
    <t>MUPI (Mobiliário Urbano para Informações)</t>
  </si>
  <si>
    <t>Oficina</t>
  </si>
  <si>
    <t>Outros, (caraterizar brevemente a instalação)</t>
  </si>
  <si>
    <t>Existente</t>
  </si>
  <si>
    <t>Parque de campismo</t>
  </si>
  <si>
    <t>Ponto de carregamento de veículos elétricos</t>
  </si>
  <si>
    <t>Piscina</t>
  </si>
  <si>
    <t>Ponto de Entrega de Águas</t>
  </si>
  <si>
    <t>Posto de abastecimento de combustível</t>
  </si>
  <si>
    <t>Quartel militar</t>
  </si>
  <si>
    <t>Recinto de espetáculos</t>
  </si>
  <si>
    <t>Recinto desportivo</t>
  </si>
  <si>
    <t>Recinto motor</t>
  </si>
  <si>
    <t>Entrada Imovel</t>
  </si>
  <si>
    <t>Fonte/iluminação decorativa</t>
  </si>
  <si>
    <t>Garagem</t>
  </si>
  <si>
    <t>Gerador Segurança</t>
  </si>
  <si>
    <t>E2</t>
  </si>
  <si>
    <t>Gerador Socorro</t>
  </si>
  <si>
    <t>E3</t>
  </si>
  <si>
    <t>Habitação</t>
  </si>
  <si>
    <t>E4</t>
  </si>
  <si>
    <t>Habitação para animais</t>
  </si>
  <si>
    <t>Herdade/Instalação Agricola</t>
  </si>
  <si>
    <t>Reservatório de água</t>
  </si>
  <si>
    <t>Restaurante</t>
  </si>
  <si>
    <t>Semáforos</t>
  </si>
  <si>
    <t>Serviço Público</t>
  </si>
  <si>
    <t>Serviços comuns</t>
  </si>
  <si>
    <t>Turismo rural/de habitação</t>
  </si>
  <si>
    <t>Instalação Coletiva</t>
  </si>
  <si>
    <t>Condominios fechados</t>
  </si>
  <si>
    <t>Classificação das instalações de utilização nos termos das RTIEBT</t>
  </si>
  <si>
    <t>Classificação ds instalações de utilização individual</t>
  </si>
  <si>
    <t>Tipo de Instalação</t>
  </si>
  <si>
    <t>Potência Total Instalada (kVA)</t>
  </si>
  <si>
    <t>Tipo A: geradores de segurança e de socorro</t>
  </si>
  <si>
    <t>Tipo B: instalações alimentadas em MT/AT/MAT</t>
  </si>
  <si>
    <t>Tipo C: instalações alimentadas em BT</t>
  </si>
  <si>
    <t>Fator de Simulta-neidade</t>
  </si>
  <si>
    <t>3 - Localização do imóvel</t>
  </si>
  <si>
    <t>4 - Caraterização do imóvel</t>
  </si>
  <si>
    <t>Instalação:</t>
  </si>
  <si>
    <r>
      <t xml:space="preserve">Tipo utilização individual </t>
    </r>
    <r>
      <rPr>
        <vertAlign val="superscript"/>
        <sz val="12"/>
        <color theme="1"/>
        <rFont val="Calibri"/>
        <family val="2"/>
        <scheme val="minor"/>
      </rPr>
      <t>(6)</t>
    </r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</si>
  <si>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</si>
  <si>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</si>
  <si>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</si>
  <si>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</si>
  <si>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</si>
  <si>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</si>
  <si>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</si>
  <si>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</si>
  <si>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</si>
  <si>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</si>
  <si>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</si>
  <si>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</si>
  <si>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</si>
  <si>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</si>
  <si>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</si>
  <si>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</si>
  <si>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(Data e assinatura do técnico responsável)</t>
  </si>
  <si>
    <t>Declaro que a informação apresentada caracteriza a instalação elétrica.</t>
  </si>
  <si>
    <r>
      <t>Outra Entrada</t>
    </r>
    <r>
      <rPr>
        <vertAlign val="superscript"/>
        <sz val="12"/>
        <color theme="1"/>
        <rFont val="Calibri"/>
        <family val="2"/>
        <scheme val="minor"/>
      </rPr>
      <t>(1)</t>
    </r>
    <r>
      <rPr>
        <sz val="12"/>
        <color theme="1"/>
        <rFont val="Calibri"/>
        <family val="2"/>
        <scheme val="minor"/>
      </rPr>
      <t xml:space="preserve"> do Imóvel:</t>
    </r>
  </si>
  <si>
    <t>Ramal  N.º</t>
  </si>
  <si>
    <t>Fração</t>
  </si>
  <si>
    <r>
      <t>Entrada</t>
    </r>
    <r>
      <rPr>
        <vertAlign val="superscript"/>
        <sz val="12"/>
        <color theme="1"/>
        <rFont val="Calibri"/>
        <family val="2"/>
        <scheme val="minor"/>
      </rPr>
      <t xml:space="preserve">(1) </t>
    </r>
    <r>
      <rPr>
        <sz val="12"/>
        <color theme="1"/>
        <rFont val="Calibri"/>
        <family val="2"/>
        <scheme val="minor"/>
      </rPr>
      <t>principal (Lugar/Rua):</t>
    </r>
  </si>
  <si>
    <r>
      <t>Classificação das instalações</t>
    </r>
    <r>
      <rPr>
        <vertAlign val="superscript"/>
        <sz val="12"/>
        <color theme="1"/>
        <rFont val="Calibri"/>
        <family val="2"/>
        <scheme val="minor"/>
      </rPr>
      <t>(2)</t>
    </r>
    <r>
      <rPr>
        <sz val="12"/>
        <color theme="1"/>
        <rFont val="Calibri"/>
        <family val="2"/>
        <scheme val="minor"/>
      </rPr>
      <t>:</t>
    </r>
  </si>
  <si>
    <r>
      <t>CPE</t>
    </r>
    <r>
      <rPr>
        <vertAlign val="superscript"/>
        <sz val="12"/>
        <color theme="1"/>
        <rFont val="Calibri"/>
        <family val="2"/>
        <scheme val="minor"/>
      </rPr>
      <t>(5)</t>
    </r>
    <r>
      <rPr>
        <sz val="12"/>
        <color theme="1"/>
        <rFont val="Calibri"/>
        <family val="2"/>
        <scheme val="minor"/>
      </rPr>
      <t xml:space="preserve">
(existente)</t>
    </r>
  </si>
  <si>
    <r>
      <t>NIP</t>
    </r>
    <r>
      <rPr>
        <vertAlign val="superscript"/>
        <sz val="12"/>
        <color theme="1"/>
        <rFont val="Calibri"/>
        <family val="2"/>
        <scheme val="minor"/>
      </rPr>
      <t>(4)</t>
    </r>
    <r>
      <rPr>
        <sz val="12"/>
        <color theme="1"/>
        <rFont val="Calibri"/>
        <family val="2"/>
        <scheme val="minor"/>
      </rPr>
      <t xml:space="preserve">
(existente)</t>
    </r>
  </si>
  <si>
    <r>
      <t xml:space="preserve">Tipo da Instalação </t>
    </r>
    <r>
      <rPr>
        <vertAlign val="superscript"/>
        <sz val="12"/>
        <color theme="1"/>
        <rFont val="Calibri"/>
        <family val="2"/>
        <scheme val="minor"/>
      </rPr>
      <t>(3)</t>
    </r>
  </si>
  <si>
    <t>(2) Conforme Anexo I do Despacho n.º 1/2018 da DGEG.</t>
  </si>
  <si>
    <t>(6) Conforme Anexo II do Despacho n.º 1/2018 da DGEG.</t>
  </si>
  <si>
    <t>(3) Conforme art.º 3.º do Decreto-Lei nº 96/2017. Para instalações do "Tipo A", de socorro ou segurança, indicar a "Entrada", "Ramal N.º", "NIP" e "CPE" da instalação de utilização a que está associado.</t>
  </si>
  <si>
    <r>
      <rPr>
        <b/>
        <sz val="24"/>
        <color theme="1"/>
        <rFont val="Calibri"/>
        <family val="2"/>
        <scheme val="minor"/>
      </rPr>
      <t>FICHA ELETROTÉCNICA</t>
    </r>
    <r>
      <rPr>
        <sz val="24"/>
        <color theme="1"/>
        <rFont val="Calibri"/>
        <family val="2"/>
        <scheme val="minor"/>
      </rPr>
      <t xml:space="preserve">
DE INSTALAÇÕES ELÉTRICAS DE SERVIÇO PARTICULAR</t>
    </r>
    <r>
      <rPr>
        <sz val="11"/>
        <color theme="1"/>
        <rFont val="Calibri"/>
        <family val="2"/>
        <scheme val="minor"/>
      </rPr>
      <t xml:space="preserve">
(emitido nos termos do disposto no artigo 12.º do Decreto-Lei n.º 96/2017, de 10 de agosto)</t>
    </r>
  </si>
  <si>
    <t>1 - Requerente/Entidade Exploradora</t>
  </si>
  <si>
    <t>(1) Localização (Rua e numeração de porta ou Lugar) do(s) ponto(s) de entrega ao imóvel (ramais de alimentação).</t>
  </si>
  <si>
    <t xml:space="preserve">     Caso a instalação de utilização seja alimentada por um ramal próprio, deve mencionar a respetiva localização.</t>
  </si>
  <si>
    <t>(4) NIP - Número de Identificação do Prédio. Caso ainda não esteja atribuído, colocar "-".</t>
  </si>
  <si>
    <t>(5) CPE - Código do Ponto de Entrega (conforme art.º 229º do RRC). Caso ainda não esteja atribuído, colocar "-".</t>
  </si>
  <si>
    <t>FE_v.20190222</t>
  </si>
  <si>
    <t>Ana Exemplo</t>
  </si>
  <si>
    <t>mariopratas@tuu.pt</t>
  </si>
  <si>
    <t>900000001</t>
  </si>
  <si>
    <t>Coimbra</t>
  </si>
  <si>
    <t>-</t>
  </si>
  <si>
    <t>SEAPOWER – Associação para o desenvolvimento da economia do mar</t>
  </si>
  <si>
    <t>geral@seapower.pt</t>
  </si>
  <si>
    <t xml:space="preserve">Rua Exemplo 10 </t>
  </si>
  <si>
    <t>3090 – 380 Figueira Da Foz</t>
  </si>
  <si>
    <t>2025/11/24</t>
  </si>
  <si>
    <t>Cantanhede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</si>
</sst>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" fillId="0" borderId="2" xfId="0" applyFont="1" applyBorder="1"/>
    <xf numFmtId="0" fontId="12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4" xfId="0" applyBorder="1"/>
    <xf numFmtId="0" fontId="1" fillId="2" borderId="2" xfId="0" applyFont="1" applyFill="1" applyBorder="1"/>
    <xf numFmtId="0" fontId="13" fillId="0" borderId="2" xfId="0" applyFont="1" applyBorder="1"/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0" borderId="0" xfId="0" applyFont="1" applyAlignment="1">
      <alignment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/>
    <xf numFmtId="0" fontId="8" fillId="0" borderId="0" xfId="0" applyFont="1" applyAlignment="1">
      <alignment vertical="center" wrapText="1"/>
    </xf>
    <xf numFmtId="0" fontId="11" fillId="0" borderId="0" xfId="0" applyFont="1"/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2" fillId="3" borderId="3" xfId="0" applyFont="1" applyFill="1" applyBorder="1" applyAlignment="1" applyProtection="1">
      <alignment horizontal="center" vertical="center"/>
      <protection locked="0"/>
    </xf>
    <xf numFmtId="2" fontId="2" fillId="0" borderId="2" xfId="0" applyNumberFormat="1" applyFont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49" fontId="8" fillId="0" borderId="9" xfId="0" applyNumberFormat="1" applyFont="1" applyBorder="1" applyAlignment="1" applyProtection="1">
      <alignment horizontal="center" vertical="center" wrapText="1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0" fontId="2" fillId="0" borderId="5" xfId="0" applyFont="1" applyBorder="1" applyAlignment="1">
      <alignment horizontal="center"/>
    </xf>
    <xf numFmtId="49" fontId="2" fillId="0" borderId="3" xfId="0" applyNumberFormat="1" applyFont="1" applyBorder="1" applyAlignment="1" applyProtection="1">
      <alignment horizontal="left" vertical="center"/>
      <protection locked="0"/>
    </xf>
    <xf numFmtId="49" fontId="2" fillId="0" borderId="4" xfId="0" applyNumberFormat="1" applyFont="1" applyBorder="1" applyAlignment="1" applyProtection="1">
      <alignment horizontal="left" vertical="center"/>
      <protection locked="0"/>
    </xf>
    <xf numFmtId="49" fontId="17" fillId="3" borderId="3" xfId="0" applyNumberFormat="1" applyFont="1" applyFill="1" applyBorder="1" applyAlignment="1" applyProtection="1">
      <alignment horizontal="left" vertical="center"/>
      <protection locked="0"/>
    </xf>
    <xf numFmtId="49" fontId="17" fillId="3" borderId="4" xfId="0" applyNumberFormat="1" applyFont="1" applyFill="1" applyBorder="1" applyAlignment="1" applyProtection="1">
      <alignment horizontal="left" vertical="center"/>
      <protection locked="0"/>
    </xf>
    <xf numFmtId="0" fontId="14" fillId="4" borderId="2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49" fontId="2" fillId="3" borderId="5" xfId="0" applyNumberFormat="1" applyFont="1" applyFill="1" applyBorder="1" applyAlignment="1" applyProtection="1">
      <alignment horizontal="left" vertical="center"/>
      <protection locked="0"/>
    </xf>
    <xf numFmtId="49" fontId="2" fillId="3" borderId="4" xfId="0" applyNumberFormat="1" applyFont="1" applyFill="1" applyBorder="1" applyAlignment="1" applyProtection="1">
      <alignment horizontal="left" vertical="center"/>
      <protection locked="0"/>
    </xf>
    <xf numFmtId="49" fontId="3" fillId="3" borderId="3" xfId="1" applyNumberFormat="1" applyFill="1" applyBorder="1" applyAlignment="1" applyProtection="1">
      <alignment horizontal="left" vertical="center"/>
      <protection locked="0"/>
    </xf>
    <xf numFmtId="49" fontId="3" fillId="3" borderId="5" xfId="1" applyNumberFormat="1" applyFill="1" applyBorder="1" applyAlignment="1" applyProtection="1">
      <alignment horizontal="left" vertical="center"/>
      <protection locked="0"/>
    </xf>
    <xf numFmtId="49" fontId="3" fillId="3" borderId="4" xfId="1" applyNumberFormat="1" applyFill="1" applyBorder="1" applyAlignment="1" applyProtection="1">
      <alignment horizontal="left" vertical="center"/>
      <protection locked="0"/>
    </xf>
    <xf numFmtId="1" fontId="2" fillId="0" borderId="3" xfId="0" applyNumberFormat="1" applyFont="1" applyBorder="1" applyAlignment="1" applyProtection="1">
      <alignment horizontal="left" vertical="center"/>
      <protection locked="0"/>
    </xf>
    <xf numFmtId="1" fontId="2" fillId="0" borderId="4" xfId="0" applyNumberFormat="1" applyFont="1" applyBorder="1" applyAlignment="1" applyProtection="1">
      <alignment horizontal="left" vertical="center"/>
      <protection locked="0"/>
    </xf>
    <xf numFmtId="49" fontId="2" fillId="0" borderId="5" xfId="0" applyNumberFormat="1" applyFont="1" applyBorder="1" applyAlignment="1" applyProtection="1">
      <alignment horizontal="left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2" fillId="5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0" borderId="5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49" fontId="2" fillId="0" borderId="2" xfId="0" applyNumberFormat="1" applyFont="1" applyBorder="1" applyAlignment="1" applyProtection="1">
      <alignment horizontal="left" vertical="center"/>
      <protection locked="0"/>
    </xf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49" fontId="2" fillId="0" borderId="3" xfId="0" applyNumberFormat="1" applyFont="1" applyBorder="1" applyAlignment="1" applyProtection="1">
      <alignment horizontal="center" vertical="center"/>
      <protection locked="0"/>
    </xf>
    <xf numFmtId="49" fontId="2" fillId="0" borderId="5" xfId="0" applyNumberFormat="1" applyFont="1" applyBorder="1" applyAlignment="1" applyProtection="1">
      <alignment horizontal="center" vertical="center"/>
      <protection locked="0"/>
    </xf>
    <xf numFmtId="49" fontId="2" fillId="0" borderId="4" xfId="0" applyNumberFormat="1" applyFont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2" fontId="2" fillId="2" borderId="2" xfId="0" applyNumberFormat="1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4" borderId="19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  <xf numFmtId="0" fontId="2" fillId="5" borderId="3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49" fontId="2" fillId="6" borderId="2" xfId="0" applyNumberFormat="1" applyFont="1" applyFill="1" applyBorder="1" applyAlignment="1" applyProtection="1">
      <alignment horizontal="left" vertical="center" wrapText="1"/>
      <protection locked="0"/>
    </xf>
    <xf numFmtId="49" fontId="2" fillId="6" borderId="2" xfId="0" applyNumberFormat="1" applyFont="1" applyFill="1" applyBorder="1" applyAlignment="1" applyProtection="1">
      <alignment horizontal="left" vertical="center"/>
      <protection locked="0"/>
    </xf>
    <xf numFmtId="3" fontId="2" fillId="6" borderId="2" xfId="0" applyNumberFormat="1" applyFont="1" applyFill="1" applyBorder="1" applyAlignment="1" applyProtection="1">
      <alignment horizontal="left" vertical="center"/>
      <protection locked="0"/>
    </xf>
    <xf numFmtId="49" fontId="2" fillId="6" borderId="3" xfId="0" applyNumberFormat="1" applyFont="1" applyFill="1" applyBorder="1" applyAlignment="1" applyProtection="1">
      <alignment horizontal="left" vertical="center"/>
      <protection locked="0"/>
    </xf>
    <xf numFmtId="49" fontId="2" fillId="6" borderId="5" xfId="0" applyNumberFormat="1" applyFont="1" applyFill="1" applyBorder="1" applyAlignment="1" applyProtection="1">
      <alignment horizontal="left" vertical="center"/>
      <protection locked="0"/>
    </xf>
    <xf numFmtId="49" fontId="2" fillId="6" borderId="4" xfId="0" applyNumberFormat="1" applyFont="1" applyFill="1" applyBorder="1" applyAlignment="1" applyProtection="1">
      <alignment horizontal="left" vertical="center"/>
      <protection locked="0"/>
    </xf>
    <xf numFmtId="49" fontId="3" fillId="6" borderId="3" xfId="1" applyNumberFormat="1" applyFill="1" applyBorder="1" applyAlignment="1" applyProtection="1">
      <alignment horizontal="left" vertical="center"/>
      <protection locked="0"/>
    </xf>
    <xf numFmtId="49" fontId="3" fillId="6" borderId="5" xfId="1" applyNumberFormat="1" applyFill="1" applyBorder="1" applyAlignment="1" applyProtection="1">
      <alignment horizontal="left" vertical="center"/>
      <protection locked="0"/>
    </xf>
    <xf numFmtId="49" fontId="3" fillId="6" borderId="4" xfId="1" applyNumberFormat="1" applyFill="1" applyBorder="1" applyAlignment="1" applyProtection="1">
      <alignment horizontal="left" vertical="center"/>
      <protection locked="0"/>
    </xf>
    <xf numFmtId="1" fontId="2" fillId="6" borderId="3" xfId="0" applyNumberFormat="1" applyFont="1" applyFill="1" applyBorder="1" applyAlignment="1" applyProtection="1">
      <alignment horizontal="left" vertical="center"/>
      <protection locked="0"/>
    </xf>
    <xf numFmtId="1" fontId="2" fillId="6" borderId="4" xfId="0" applyNumberFormat="1" applyFont="1" applyFill="1" applyBorder="1" applyAlignment="1" applyProtection="1">
      <alignment horizontal="left" vertical="center"/>
      <protection locked="0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34</xdr:row>
          <xdr:rowOff>180975</xdr:rowOff>
        </xdr:from>
        <xdr:to>
          <xdr:col>5</xdr:col>
          <xdr:colOff>9525</xdr:colOff>
          <xdr:row>36</xdr:row>
          <xdr:rowOff>19050</xdr:rowOff>
        </xdr:to>
        <xdr:sp macro="" textlink="">
          <xdr:nvSpPr>
            <xdr:cNvPr id="1025" name="cmd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19</xdr:row>
          <xdr:rowOff>0</xdr:rowOff>
        </xdr:from>
        <xdr:to>
          <xdr:col>5</xdr:col>
          <xdr:colOff>9525</xdr:colOff>
          <xdr:row>20</xdr:row>
          <xdr:rowOff>28575</xdr:rowOff>
        </xdr:to>
        <xdr:sp macro="" textlink="">
          <xdr:nvSpPr>
            <xdr:cNvPr id="1033" name="cmdb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geral@seapower.pt" TargetMode="External"/><Relationship Id="rId1" Type="http://schemas.openxmlformats.org/officeDocument/2006/relationships/hyperlink" Target="mailto:mariopratas@tuu.pt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pageSetUpPr fitToPage="1"/>
  </sheetPr>
  <dimension ref="B1:Y113"/>
  <sheetViews>
    <sheetView tabSelected="1" topLeftCell="A14" zoomScale="85" zoomScaleNormal="85" workbookViewId="0">
      <selection activeCell="U36" sqref="U36"/>
    </sheetView>
  </sheetViews>
  <sheetFormatPr defaultColWidth="9.140625" defaultRowHeight="15" x14ac:dyDescent="0.25"/>
  <cols>
    <col min="1" max="1" width="3.7109375" customWidth="1"/>
    <col min="2" max="2" width="99.9990188" customWidth="1"/>
    <col min="3" max="3" width="8.5703125" customWidth="1"/>
    <col min="4" max="4" width="7.42578125" customWidth="1"/>
    <col min="5" max="5" width="4.42578125" customWidth="1"/>
    <col min="6" max="6" width="4.7109375" customWidth="1"/>
    <col min="7" max="7" width="2.85546875" customWidth="1"/>
    <col min="8" max="8" width="8" customWidth="1"/>
    <col min="9" max="9" width="9.42578125" customWidth="1"/>
    <col min="10" max="10" width="9.140625" customWidth="1"/>
    <col min="11" max="11" width="6.7109375" customWidth="1"/>
    <col min="12" max="12" width="7.28515625" customWidth="1"/>
    <col min="13" max="13" width="25.42578125" customWidth="1"/>
    <col min="14" max="14" width="17.140625" customWidth="1"/>
    <col min="15" max="15" width="8.140625" customWidth="1"/>
    <col min="16" max="16" width="10.140625" customWidth="1"/>
    <col min="17" max="17" width="9.140625" customWidth="1"/>
    <col min="18" max="18" width="26.85546875" customWidth="1"/>
    <col min="19" max="19" width="3.7109375" customWidth="1"/>
    <col min="20" max="25" width="9.140625" customWidth="1"/>
    <col min="27" max="27" width="9.140625" customWidth="1"/>
    <col min="30" max="30" width="9.140625" customWidth="1"/>
  </cols>
  <sheetData>
    <row r="1" spans="2:23" x14ac:dyDescent="0.25"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2:23" ht="83.25" customHeight="1" x14ac:dyDescent="0.25">
      <c r="B2" s="67" t="s">
        <v>157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2:23" ht="23.25" customHeight="1" x14ac:dyDescent="0.25"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</row>
    <row r="4" spans="2:23" ht="22.5" customHeight="1" x14ac:dyDescent="0.25">
      <c r="B4" s="44" t="s">
        <v>158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23" ht="23.1" customHeight="1" x14ac:dyDescent="0.25">
      <c r="B5" s="36" t="s">
        <v>0</v>
      </c>
      <c r="C5" s="109" t="s">
        <v>169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1"/>
      <c r="O5" s="45" t="s">
        <v>3</v>
      </c>
      <c r="P5" s="46"/>
      <c r="Q5" s="115">
        <v>999990153</v>
      </c>
      <c r="R5" s="116"/>
    </row>
    <row r="6" spans="2:23" ht="23.1" customHeight="1" x14ac:dyDescent="0.25">
      <c r="B6" s="36" t="s">
        <v>1</v>
      </c>
      <c r="C6" s="108">
        <v>200000028</v>
      </c>
      <c r="D6" s="107"/>
      <c r="E6" s="107"/>
      <c r="F6" s="107"/>
      <c r="G6" s="107"/>
      <c r="H6" s="107"/>
      <c r="I6" s="36" t="s">
        <v>2</v>
      </c>
      <c r="J6" s="112" t="s">
        <v>170</v>
      </c>
      <c r="K6" s="113"/>
      <c r="L6" s="113"/>
      <c r="M6" s="113"/>
      <c r="N6" s="113"/>
      <c r="O6" s="113"/>
      <c r="P6" s="113"/>
      <c r="Q6" s="113"/>
      <c r="R6" s="114"/>
    </row>
    <row r="7" spans="2:23" ht="15.75" x14ac:dyDescent="0.25">
      <c r="B7" s="36" t="s">
        <v>4</v>
      </c>
      <c r="C7" s="106" t="s">
        <v>171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</row>
    <row r="8" spans="2:23" ht="22.5" customHeight="1" x14ac:dyDescent="0.25">
      <c r="B8" s="36" t="s">
        <v>5</v>
      </c>
      <c r="C8" s="107" t="s">
        <v>172</v>
      </c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</row>
    <row r="9" spans="2:23" ht="22.5" customHeight="1" x14ac:dyDescent="0.25"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</row>
    <row r="10" spans="2:23" ht="23.1" customHeight="1" x14ac:dyDescent="0.25">
      <c r="B10" s="44" t="s">
        <v>6</v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</row>
    <row r="11" spans="2:23" ht="23.1" customHeight="1" x14ac:dyDescent="0.25">
      <c r="B11" s="36" t="s">
        <v>0</v>
      </c>
      <c r="C11" s="40" t="s">
        <v>164</v>
      </c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41"/>
      <c r="O11" s="45" t="s">
        <v>7</v>
      </c>
      <c r="P11" s="46"/>
      <c r="Q11" s="53">
        <v>999990021</v>
      </c>
      <c r="R11" s="54"/>
    </row>
    <row r="12" spans="2:23" ht="23.1" customHeight="1" x14ac:dyDescent="0.25">
      <c r="B12" s="36" t="s">
        <v>1</v>
      </c>
      <c r="C12" s="40" t="s">
        <v>166</v>
      </c>
      <c r="D12" s="55"/>
      <c r="E12" s="55"/>
      <c r="F12" s="55"/>
      <c r="G12" s="55"/>
      <c r="H12" s="41"/>
      <c r="I12" s="36" t="s">
        <v>2</v>
      </c>
      <c r="J12" s="50" t="s">
        <v>165</v>
      </c>
      <c r="K12" s="51"/>
      <c r="L12" s="51"/>
      <c r="M12" s="51"/>
      <c r="N12" s="52"/>
      <c r="O12" s="45" t="s">
        <v>8</v>
      </c>
      <c r="P12" s="46"/>
      <c r="Q12" s="53">
        <v>00002</v>
      </c>
      <c r="R12" s="54"/>
    </row>
    <row r="13" spans="2:23" ht="22.5" customHeight="1" x14ac:dyDescent="0.25"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</row>
    <row r="14" spans="2:23" ht="23.1" customHeight="1" x14ac:dyDescent="0.25">
      <c r="B14" s="60" t="s">
        <v>124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  <c r="W14" s="17"/>
    </row>
    <row r="15" spans="2:23" ht="23.1" customHeight="1" x14ac:dyDescent="0.25">
      <c r="B15" s="36" t="s">
        <v>9</v>
      </c>
      <c r="C15" s="63"/>
      <c r="D15" s="63"/>
      <c r="E15" s="63"/>
      <c r="F15" s="63"/>
      <c r="G15" s="63"/>
      <c r="H15" s="63"/>
      <c r="I15" s="63"/>
      <c r="J15" s="63"/>
      <c r="K15" s="57" t="s">
        <v>10</v>
      </c>
      <c r="L15" s="57"/>
      <c r="M15" s="63" t="s">
        <v>174</v>
      </c>
      <c r="N15" s="63"/>
      <c r="O15" s="57" t="s">
        <v>11</v>
      </c>
      <c r="P15" s="57"/>
      <c r="Q15" s="63" t="s">
        <v>167</v>
      </c>
      <c r="R15" s="63"/>
      <c r="W15" s="17"/>
    </row>
    <row r="16" spans="2:23" ht="23.1" customHeight="1" x14ac:dyDescent="0.25">
      <c r="B16" s="57" t="s">
        <v>149</v>
      </c>
      <c r="C16" s="57"/>
      <c r="D16" s="57"/>
      <c r="E16" s="57"/>
      <c r="F16" s="30" t="s">
        <v>22</v>
      </c>
      <c r="G16" s="47"/>
      <c r="H16" s="48"/>
      <c r="I16" s="48"/>
      <c r="J16" s="48"/>
      <c r="K16" s="48"/>
      <c r="L16" s="48"/>
      <c r="M16" s="48"/>
      <c r="N16" s="49"/>
      <c r="O16" s="37" t="s">
        <v>12</v>
      </c>
      <c r="P16" s="37"/>
      <c r="Q16" s="42"/>
      <c r="R16" s="43"/>
      <c r="W16" s="18"/>
    </row>
    <row r="17" spans="2:25" ht="23.1" hidden="1" customHeight="1" x14ac:dyDescent="0.25">
      <c r="B17" s="57" t="s">
        <v>146</v>
      </c>
      <c r="C17" s="57"/>
      <c r="D17" s="57"/>
      <c r="E17" s="57"/>
      <c r="F17" s="26"/>
      <c r="G17" s="47"/>
      <c r="H17" s="48"/>
      <c r="I17" s="48"/>
      <c r="J17" s="48"/>
      <c r="K17" s="48"/>
      <c r="L17" s="48"/>
      <c r="M17" s="48"/>
      <c r="N17" s="49"/>
      <c r="O17" s="37" t="s">
        <v>12</v>
      </c>
      <c r="P17" s="37"/>
      <c r="Q17" s="40"/>
      <c r="R17" s="41"/>
      <c r="T17" s="19"/>
    </row>
    <row r="18" spans="2:25" ht="23.1" customHeight="1" x14ac:dyDescent="0.25">
      <c r="B18" s="57" t="s">
        <v>146</v>
      </c>
      <c r="C18" s="57"/>
      <c r="D18" s="57"/>
      <c r="E18" s="57"/>
      <c r="F18" s="26"/>
      <c r="G18" s="47"/>
      <c r="H18" s="48"/>
      <c r="I18" s="48"/>
      <c r="J18" s="48"/>
      <c r="K18" s="48"/>
      <c r="L18" s="48"/>
      <c r="M18" s="48"/>
      <c r="N18" s="49"/>
      <c r="O18" s="37" t="s">
        <v>12</v>
      </c>
      <c r="P18" s="37"/>
      <c r="Q18" s="40"/>
      <c r="R18" s="41"/>
      <c r="T18" s="19"/>
    </row>
    <row r="19" spans="2:25" ht="15" customHeight="1" x14ac:dyDescent="0.25"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T19" s="19"/>
    </row>
    <row r="20" spans="2:25" ht="23.1" customHeight="1" x14ac:dyDescent="0.25"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T20" s="19"/>
    </row>
    <row r="21" spans="2:25" ht="23.1" customHeight="1" x14ac:dyDescent="0.25"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</row>
    <row r="22" spans="2:25" ht="23.1" customHeight="1" x14ac:dyDescent="0.25">
      <c r="B22" s="44" t="s">
        <v>125</v>
      </c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25" ht="23.1" customHeight="1" x14ac:dyDescent="0.25">
      <c r="B23" s="74" t="s">
        <v>13</v>
      </c>
      <c r="C23" s="74"/>
      <c r="D23" s="74"/>
      <c r="E23" s="74"/>
      <c r="F23" s="56" t="s">
        <v>40</v>
      </c>
      <c r="G23" s="56"/>
      <c r="H23" s="56"/>
      <c r="I23" s="56"/>
      <c r="J23" s="56"/>
      <c r="K23" s="56"/>
      <c r="L23" s="56"/>
      <c r="M23" s="56"/>
      <c r="N23" s="56"/>
      <c r="O23" s="57" t="s">
        <v>126</v>
      </c>
      <c r="P23" s="57"/>
      <c r="Q23" s="58" t="s">
        <v>87</v>
      </c>
      <c r="R23" s="58"/>
    </row>
    <row r="24" spans="2:25" ht="23.1" customHeight="1" x14ac:dyDescent="0.25">
      <c r="B24" s="45" t="s">
        <v>150</v>
      </c>
      <c r="C24" s="78"/>
      <c r="D24" s="78"/>
      <c r="E24" s="46"/>
      <c r="F24" s="100" t="s">
        <v>32</v>
      </c>
      <c r="G24" s="101"/>
      <c r="H24" s="101"/>
      <c r="I24" s="101"/>
      <c r="J24" s="101"/>
      <c r="K24" s="101"/>
      <c r="L24" s="101"/>
      <c r="M24" s="101"/>
      <c r="N24" s="102"/>
      <c r="O24" s="57" t="s">
        <v>14</v>
      </c>
      <c r="P24" s="57"/>
      <c r="Q24" s="99">
        <f>SUM(IF(FREQUENCY(D28:D34,D28:D34)&gt;0,1))</f>
        <v>1</v>
      </c>
      <c r="R24" s="99"/>
    </row>
    <row r="25" spans="2:25" ht="22.5" customHeight="1" x14ac:dyDescent="0.25"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2:25" ht="23.1" customHeight="1" x14ac:dyDescent="0.25">
      <c r="B26" s="60" t="s">
        <v>15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2:25" s="16" customFormat="1" ht="47.25" customHeight="1" x14ac:dyDescent="0.25">
      <c r="B27" s="32" t="s">
        <v>153</v>
      </c>
      <c r="C27" s="32" t="s">
        <v>16</v>
      </c>
      <c r="D27" s="32" t="s">
        <v>147</v>
      </c>
      <c r="E27" s="103" t="s">
        <v>152</v>
      </c>
      <c r="F27" s="104"/>
      <c r="G27" s="105"/>
      <c r="H27" s="72" t="s">
        <v>151</v>
      </c>
      <c r="I27" s="73"/>
      <c r="J27" s="73"/>
      <c r="K27" s="33" t="s">
        <v>17</v>
      </c>
      <c r="L27" s="33" t="s">
        <v>148</v>
      </c>
      <c r="M27" s="72" t="s">
        <v>127</v>
      </c>
      <c r="N27" s="72"/>
      <c r="O27" s="33" t="s">
        <v>18</v>
      </c>
      <c r="P27" s="32" t="s">
        <v>19</v>
      </c>
      <c r="Q27" s="32" t="s">
        <v>123</v>
      </c>
      <c r="R27" s="32" t="s">
        <v>20</v>
      </c>
    </row>
    <row r="28" spans="2:25" s="25" customFormat="1" ht="23.25" hidden="1" customHeight="1" x14ac:dyDescent="0.25">
      <c r="B28" s="24"/>
      <c r="C28" s="28"/>
      <c r="D28" s="35"/>
      <c r="E28" s="75"/>
      <c r="F28" s="76"/>
      <c r="G28" s="77"/>
      <c r="H28" s="82"/>
      <c r="I28" s="82"/>
      <c r="J28" s="82"/>
      <c r="K28" s="35"/>
      <c r="L28" s="35"/>
      <c r="M28" s="71"/>
      <c r="N28" s="71"/>
      <c r="O28" s="24"/>
      <c r="P28" s="29"/>
      <c r="Q28" s="29" t="str">
        <f t="shared" ref="Q28:Q34" si="0">IF(OR(B28="A",B28="B"),1,"")</f>
        <v/>
      </c>
      <c r="R28" s="31">
        <f>IF(B28="C",IFERROR(P28*Q28,0),P28)</f>
        <v>0</v>
      </c>
      <c r="S28" s="16"/>
      <c r="T28" s="16"/>
      <c r="V28" s="16"/>
      <c r="Y28" s="16"/>
    </row>
    <row r="29" spans="2:25" s="25" customFormat="1" ht="23.1" customHeight="1" x14ac:dyDescent="0.25">
      <c r="B29" s="24" t="s">
        <v>21</v>
      </c>
      <c r="C29" s="28" t="s">
        <v>22</v>
      </c>
      <c r="D29" s="24">
        <v>1</v>
      </c>
      <c r="E29" s="75"/>
      <c r="F29" s="76"/>
      <c r="G29" s="77"/>
      <c r="H29" s="82"/>
      <c r="I29" s="82"/>
      <c r="J29" s="82"/>
      <c r="K29" s="35" t="s">
        <v>168</v>
      </c>
      <c r="L29" s="35" t="s">
        <v>168</v>
      </c>
      <c r="M29" s="71" t="s">
        <v>64</v>
      </c>
      <c r="N29" s="71"/>
      <c r="O29" s="24" t="s">
        <v>24</v>
      </c>
      <c r="P29" s="29">
        <v>180</v>
      </c>
      <c r="Q29" s="29">
        <v>1</v>
      </c>
      <c r="R29" s="31">
        <f t="shared" ref="R29:R34" si="1">IF(B29="C",IFERROR(P29*Q29,0),P29)</f>
        <v>180</v>
      </c>
      <c r="S29" s="16"/>
      <c r="T29" s="16"/>
      <c r="V29" s="16"/>
      <c r="Y29" s="16"/>
    </row>
    <row r="30" spans="2:25" s="25" customFormat="1" ht="23.1" customHeight="1" x14ac:dyDescent="0.25">
      <c r="B30" s="24"/>
      <c r="C30" s="28"/>
      <c r="D30" s="24"/>
      <c r="E30" s="75"/>
      <c r="F30" s="76"/>
      <c r="G30" s="77"/>
      <c r="H30" s="82"/>
      <c r="I30" s="82"/>
      <c r="J30" s="82"/>
      <c r="K30" s="35"/>
      <c r="L30" s="35"/>
      <c r="M30" s="71"/>
      <c r="N30" s="71"/>
      <c r="O30" s="24"/>
      <c r="P30" s="29"/>
      <c r="Q30" s="29" t="str">
        <f t="shared" si="0"/>
        <v/>
      </c>
      <c r="R30" s="31">
        <f t="shared" si="1"/>
        <v>0</v>
      </c>
      <c r="S30" s="16"/>
      <c r="T30" s="16"/>
      <c r="V30" s="16"/>
      <c r="Y30" s="16"/>
    </row>
    <row r="31" spans="2:25" s="25" customFormat="1" ht="22.5" customHeight="1" x14ac:dyDescent="0.25">
      <c r="B31" s="24"/>
      <c r="C31" s="28"/>
      <c r="D31" s="35"/>
      <c r="E31" s="75"/>
      <c r="F31" s="76"/>
      <c r="G31" s="77"/>
      <c r="H31" s="82"/>
      <c r="I31" s="82"/>
      <c r="J31" s="82"/>
      <c r="K31" s="35"/>
      <c r="L31" s="35"/>
      <c r="M31" s="71"/>
      <c r="N31" s="71"/>
      <c r="O31" s="24"/>
      <c r="P31" s="29"/>
      <c r="Q31" s="29" t="str">
        <f t="shared" si="0"/>
        <v/>
      </c>
      <c r="R31" s="31">
        <f t="shared" si="1"/>
        <v>0</v>
      </c>
      <c r="S31" s="16"/>
      <c r="T31" s="16"/>
      <c r="V31" s="16"/>
      <c r="Y31" s="16"/>
    </row>
    <row r="32" spans="2:25" s="25" customFormat="1" ht="22.5" customHeight="1" x14ac:dyDescent="0.25">
      <c r="B32" s="24"/>
      <c r="C32" s="28"/>
      <c r="D32" s="35"/>
      <c r="E32" s="75"/>
      <c r="F32" s="76"/>
      <c r="G32" s="77"/>
      <c r="H32" s="82"/>
      <c r="I32" s="82"/>
      <c r="J32" s="82"/>
      <c r="K32" s="35"/>
      <c r="L32" s="35"/>
      <c r="M32" s="71"/>
      <c r="N32" s="71"/>
      <c r="O32" s="24"/>
      <c r="P32" s="29"/>
      <c r="Q32" s="29" t="str">
        <f t="shared" si="0"/>
        <v/>
      </c>
      <c r="R32" s="31">
        <f t="shared" si="1"/>
        <v>0</v>
      </c>
      <c r="V32" s="16"/>
      <c r="Y32" s="16"/>
    </row>
    <row r="33" spans="2:25" s="25" customFormat="1" ht="22.5" customHeight="1" x14ac:dyDescent="0.25">
      <c r="B33" s="24"/>
      <c r="C33" s="28"/>
      <c r="D33" s="35"/>
      <c r="E33" s="75"/>
      <c r="F33" s="76"/>
      <c r="G33" s="77"/>
      <c r="H33" s="82"/>
      <c r="I33" s="82"/>
      <c r="J33" s="82"/>
      <c r="K33" s="35"/>
      <c r="L33" s="35"/>
      <c r="M33" s="71"/>
      <c r="N33" s="71"/>
      <c r="O33" s="24"/>
      <c r="P33" s="29"/>
      <c r="Q33" s="29" t="str">
        <f t="shared" si="0"/>
        <v/>
      </c>
      <c r="R33" s="31">
        <f t="shared" si="1"/>
        <v>0</v>
      </c>
      <c r="V33" s="16"/>
      <c r="Y33" s="16"/>
    </row>
    <row r="34" spans="2:25" s="25" customFormat="1" ht="23.25" hidden="1" customHeight="1" x14ac:dyDescent="0.25">
      <c r="B34" s="24"/>
      <c r="C34" s="28"/>
      <c r="D34" s="35"/>
      <c r="E34" s="75"/>
      <c r="F34" s="76"/>
      <c r="G34" s="77"/>
      <c r="H34" s="82"/>
      <c r="I34" s="82"/>
      <c r="J34" s="82"/>
      <c r="K34" s="35"/>
      <c r="L34" s="35"/>
      <c r="M34" s="71"/>
      <c r="N34" s="71"/>
      <c r="O34" s="24"/>
      <c r="P34" s="29"/>
      <c r="Q34" s="29" t="str">
        <f t="shared" si="0"/>
        <v/>
      </c>
      <c r="R34" s="31">
        <f t="shared" si="1"/>
        <v>0</v>
      </c>
      <c r="V34" s="16"/>
      <c r="Y34" s="16"/>
    </row>
    <row r="35" spans="2:25" s="25" customFormat="1" ht="15" customHeight="1" x14ac:dyDescent="0.25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V35" s="16"/>
      <c r="Y35" s="16"/>
    </row>
    <row r="36" spans="2:25" s="20" customFormat="1" ht="22.5" customHeight="1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V36"/>
      <c r="Y36"/>
    </row>
    <row r="37" spans="2:25" ht="22.5" customHeight="1" thickBot="1" x14ac:dyDescent="0.3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</row>
    <row r="38" spans="2:25" ht="47.25" customHeight="1" thickBot="1" x14ac:dyDescent="0.3">
      <c r="B38" s="95" t="s">
        <v>118</v>
      </c>
      <c r="C38" s="96"/>
      <c r="D38" s="96"/>
      <c r="E38" s="96"/>
      <c r="F38" s="96"/>
      <c r="G38" s="96"/>
      <c r="H38" s="97"/>
      <c r="I38" s="84" t="s">
        <v>119</v>
      </c>
      <c r="J38" s="85"/>
      <c r="K38" s="1"/>
      <c r="L38" s="1"/>
      <c r="M38" s="89" t="s">
        <v>145</v>
      </c>
      <c r="N38" s="90"/>
      <c r="O38" s="90"/>
      <c r="P38" s="90"/>
      <c r="Q38" s="90"/>
      <c r="R38" s="91"/>
      <c r="Y38" s="21"/>
    </row>
    <row r="39" spans="2:25" s="20" customFormat="1" ht="14.25" customHeight="1" x14ac:dyDescent="0.25">
      <c r="B39" s="98"/>
      <c r="C39" s="98"/>
      <c r="D39" s="98"/>
      <c r="E39" s="98"/>
      <c r="F39" s="98"/>
      <c r="G39" s="98"/>
      <c r="H39" s="98"/>
      <c r="I39" s="98"/>
      <c r="J39" s="98"/>
      <c r="K39" s="15"/>
      <c r="L39" s="15"/>
      <c r="M39" s="92"/>
      <c r="N39" s="93"/>
      <c r="O39" s="93"/>
      <c r="P39" s="93"/>
      <c r="Q39" s="93"/>
      <c r="R39" s="94"/>
      <c r="V39"/>
      <c r="Y39"/>
    </row>
    <row r="40" spans="2:25" s="20" customFormat="1" ht="22.5" customHeight="1" x14ac:dyDescent="0.25">
      <c r="B40" s="57" t="s">
        <v>120</v>
      </c>
      <c r="C40" s="57"/>
      <c r="D40" s="57"/>
      <c r="E40" s="57"/>
      <c r="F40" s="57"/>
      <c r="G40" s="57"/>
      <c r="H40" s="57"/>
      <c r="I40" s="83">
        <f>SUMIF($B$28:$B$34,"A",$R$28:$R$34)</f>
        <v>0</v>
      </c>
      <c r="J40" s="83"/>
      <c r="K40" s="15"/>
      <c r="L40" s="15"/>
      <c r="M40" s="34" t="s">
        <v>173</v>
      </c>
      <c r="N40" s="93"/>
      <c r="O40" s="93"/>
      <c r="P40" s="93"/>
      <c r="Q40" s="93"/>
      <c r="R40" s="94"/>
      <c r="V40"/>
      <c r="Y40"/>
    </row>
    <row r="41" spans="2:25" ht="12.75" customHeight="1" x14ac:dyDescent="0.25">
      <c r="B41" s="59"/>
      <c r="C41" s="59"/>
      <c r="D41" s="59"/>
      <c r="E41" s="59"/>
      <c r="F41" s="59"/>
      <c r="G41" s="59"/>
      <c r="H41" s="59"/>
      <c r="I41" s="59"/>
      <c r="J41" s="59"/>
      <c r="K41" s="15"/>
      <c r="L41" s="15"/>
      <c r="M41" s="92"/>
      <c r="N41" s="93"/>
      <c r="O41" s="93"/>
      <c r="P41" s="93"/>
      <c r="Q41" s="93"/>
      <c r="R41" s="94"/>
      <c r="Y41" s="21"/>
    </row>
    <row r="42" spans="2:25" ht="22.5" customHeight="1" x14ac:dyDescent="0.25">
      <c r="B42" s="57" t="s">
        <v>121</v>
      </c>
      <c r="C42" s="57"/>
      <c r="D42" s="57"/>
      <c r="E42" s="57"/>
      <c r="F42" s="57"/>
      <c r="G42" s="57"/>
      <c r="H42" s="57"/>
      <c r="I42" s="83">
        <f>SUMIF($B$28:$B$34,"B",$R$28:$R$34)</f>
        <v>0</v>
      </c>
      <c r="J42" s="83"/>
      <c r="K42" s="15"/>
      <c r="L42" s="15"/>
      <c r="M42" s="92"/>
      <c r="N42" s="93"/>
      <c r="O42" s="93"/>
      <c r="P42" s="93"/>
      <c r="Q42" s="93"/>
      <c r="R42" s="94"/>
      <c r="Y42" s="21"/>
    </row>
    <row r="43" spans="2:25" ht="14.25" customHeight="1" x14ac:dyDescent="0.25">
      <c r="B43" s="59"/>
      <c r="C43" s="59"/>
      <c r="D43" s="59"/>
      <c r="E43" s="59"/>
      <c r="F43" s="59"/>
      <c r="G43" s="59"/>
      <c r="H43" s="59"/>
      <c r="I43" s="59"/>
      <c r="J43" s="59"/>
      <c r="K43" s="15"/>
      <c r="L43" s="15"/>
      <c r="M43" s="92"/>
      <c r="N43" s="93"/>
      <c r="O43" s="93"/>
      <c r="P43" s="93"/>
      <c r="Q43" s="93"/>
      <c r="R43" s="94"/>
      <c r="Y43" s="21"/>
    </row>
    <row r="44" spans="2:25" ht="23.25" customHeight="1" thickBot="1" x14ac:dyDescent="0.3">
      <c r="B44" s="57" t="s">
        <v>122</v>
      </c>
      <c r="C44" s="57"/>
      <c r="D44" s="57"/>
      <c r="E44" s="57"/>
      <c r="F44" s="57"/>
      <c r="G44" s="57"/>
      <c r="H44" s="57"/>
      <c r="I44" s="83">
        <f>SUMIF($B$28:$B$34,"C",$R$28:$R$34)</f>
        <v>180</v>
      </c>
      <c r="J44" s="83"/>
      <c r="K44" s="15"/>
      <c r="L44" s="15"/>
      <c r="M44" s="86" t="s">
        <v>144</v>
      </c>
      <c r="N44" s="87"/>
      <c r="O44" s="87"/>
      <c r="P44" s="87"/>
      <c r="Q44" s="87"/>
      <c r="R44" s="88"/>
      <c r="Y44" s="21"/>
    </row>
    <row r="45" spans="2:25" ht="15" customHeight="1" x14ac:dyDescent="0.2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22"/>
      <c r="N45" s="22"/>
      <c r="O45" s="22"/>
      <c r="P45" s="22"/>
      <c r="Q45" s="22"/>
      <c r="R45" s="38" t="s">
        <v>163</v>
      </c>
      <c r="Y45" s="21"/>
    </row>
    <row r="46" spans="2:25" ht="15.75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2:25" x14ac:dyDescent="0.25">
      <c r="B47" t="s">
        <v>159</v>
      </c>
      <c r="C47" s="2"/>
      <c r="D47" s="2"/>
      <c r="E47" s="2"/>
      <c r="F47" s="2"/>
      <c r="G47" s="2"/>
      <c r="H47" s="2"/>
      <c r="I47" s="2"/>
      <c r="J47" s="3"/>
      <c r="K47" s="3"/>
    </row>
    <row r="48" spans="2:25" x14ac:dyDescent="0.25">
      <c r="B48" t="s">
        <v>160</v>
      </c>
      <c r="C48" s="2"/>
      <c r="D48" s="2"/>
      <c r="E48" s="2"/>
      <c r="F48" s="2"/>
      <c r="G48" s="2"/>
      <c r="H48" s="2"/>
      <c r="I48" s="2"/>
      <c r="J48" s="3"/>
      <c r="K48" s="3"/>
    </row>
    <row r="49" spans="2:11" x14ac:dyDescent="0.25">
      <c r="B49" t="s">
        <v>154</v>
      </c>
      <c r="C49" s="2"/>
      <c r="D49" s="2"/>
      <c r="E49" s="2"/>
      <c r="F49" s="2"/>
      <c r="G49" s="2"/>
      <c r="H49" s="2"/>
      <c r="I49" s="2"/>
      <c r="J49" s="3"/>
      <c r="K49" s="3"/>
    </row>
    <row r="50" spans="2:11" x14ac:dyDescent="0.25">
      <c r="B50" t="s">
        <v>156</v>
      </c>
      <c r="C50" s="2"/>
      <c r="D50" s="2"/>
      <c r="E50" s="2"/>
      <c r="F50" s="2"/>
      <c r="G50" s="2"/>
      <c r="H50" s="2"/>
      <c r="I50" s="2"/>
      <c r="J50" s="3"/>
      <c r="K50" s="3"/>
    </row>
    <row r="51" spans="2:11" x14ac:dyDescent="0.25">
      <c r="B51" t="s">
        <v>161</v>
      </c>
      <c r="C51" s="2"/>
      <c r="D51" s="2"/>
      <c r="E51" s="2"/>
      <c r="F51" s="2"/>
      <c r="G51" s="2"/>
      <c r="H51" s="2"/>
      <c r="I51" s="2"/>
      <c r="J51" s="3"/>
      <c r="K51" s="3"/>
    </row>
    <row r="52" spans="2:11" x14ac:dyDescent="0.25">
      <c r="B52" t="s">
        <v>162</v>
      </c>
      <c r="C52" s="2"/>
      <c r="D52" s="2"/>
      <c r="E52" s="2"/>
      <c r="F52" s="2"/>
      <c r="G52" s="2"/>
      <c r="H52" s="2"/>
      <c r="I52" s="2"/>
      <c r="J52" s="2"/>
      <c r="K52" s="2"/>
    </row>
    <row r="53" spans="2:11" x14ac:dyDescent="0.25">
      <c r="B53" t="s">
        <v>155</v>
      </c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3"/>
    </row>
  </sheetData>
  <sheetProtection formatCells="0" selectLockedCells="1"/>
  <mergeCells count="92">
    <mergeCell ref="E31:G31"/>
    <mergeCell ref="E32:G32"/>
    <mergeCell ref="F24:N24"/>
    <mergeCell ref="E27:G27"/>
    <mergeCell ref="E28:G28"/>
    <mergeCell ref="E29:G29"/>
    <mergeCell ref="E30:G30"/>
    <mergeCell ref="I38:J38"/>
    <mergeCell ref="B43:J43"/>
    <mergeCell ref="O15:P15"/>
    <mergeCell ref="M44:R44"/>
    <mergeCell ref="M38:R39"/>
    <mergeCell ref="N40:R40"/>
    <mergeCell ref="M41:R43"/>
    <mergeCell ref="I40:J40"/>
    <mergeCell ref="B40:H40"/>
    <mergeCell ref="B38:H38"/>
    <mergeCell ref="B39:J39"/>
    <mergeCell ref="B26:R26"/>
    <mergeCell ref="M27:N27"/>
    <mergeCell ref="O24:P24"/>
    <mergeCell ref="Q24:R24"/>
    <mergeCell ref="B22:R22"/>
    <mergeCell ref="I42:J42"/>
    <mergeCell ref="I44:J44"/>
    <mergeCell ref="B42:H42"/>
    <mergeCell ref="B44:H44"/>
    <mergeCell ref="B41:J41"/>
    <mergeCell ref="B37:R37"/>
    <mergeCell ref="B19:R19"/>
    <mergeCell ref="B20:R20"/>
    <mergeCell ref="B21:R21"/>
    <mergeCell ref="M31:N31"/>
    <mergeCell ref="M32:N32"/>
    <mergeCell ref="M33:N33"/>
    <mergeCell ref="M34:N34"/>
    <mergeCell ref="H28:J28"/>
    <mergeCell ref="H30:J30"/>
    <mergeCell ref="B25:R25"/>
    <mergeCell ref="H31:J31"/>
    <mergeCell ref="H32:J32"/>
    <mergeCell ref="H33:J33"/>
    <mergeCell ref="H34:J34"/>
    <mergeCell ref="H29:J29"/>
    <mergeCell ref="G16:N16"/>
    <mergeCell ref="M15:N15"/>
    <mergeCell ref="B1:R1"/>
    <mergeCell ref="B36:R36"/>
    <mergeCell ref="B35:R35"/>
    <mergeCell ref="B2:R2"/>
    <mergeCell ref="C12:H12"/>
    <mergeCell ref="B3:R3"/>
    <mergeCell ref="M28:N28"/>
    <mergeCell ref="M30:N30"/>
    <mergeCell ref="M29:N29"/>
    <mergeCell ref="H27:J27"/>
    <mergeCell ref="B23:E23"/>
    <mergeCell ref="E33:G33"/>
    <mergeCell ref="E34:G34"/>
    <mergeCell ref="B24:E24"/>
    <mergeCell ref="Q11:R11"/>
    <mergeCell ref="C7:R7"/>
    <mergeCell ref="F23:N23"/>
    <mergeCell ref="O23:P23"/>
    <mergeCell ref="Q23:R23"/>
    <mergeCell ref="B13:R13"/>
    <mergeCell ref="B14:R14"/>
    <mergeCell ref="B16:E16"/>
    <mergeCell ref="B17:E17"/>
    <mergeCell ref="B18:E18"/>
    <mergeCell ref="K15:L15"/>
    <mergeCell ref="C15:J15"/>
    <mergeCell ref="Q17:R17"/>
    <mergeCell ref="Q15:R15"/>
    <mergeCell ref="G17:N17"/>
    <mergeCell ref="G18:N18"/>
    <mergeCell ref="C8:R8"/>
    <mergeCell ref="B9:R9"/>
    <mergeCell ref="Q18:R18"/>
    <mergeCell ref="Q16:R16"/>
    <mergeCell ref="B4:R4"/>
    <mergeCell ref="C6:H6"/>
    <mergeCell ref="O5:P5"/>
    <mergeCell ref="Q5:R5"/>
    <mergeCell ref="C5:N5"/>
    <mergeCell ref="J6:R6"/>
    <mergeCell ref="B10:R10"/>
    <mergeCell ref="O12:P12"/>
    <mergeCell ref="Q12:R12"/>
    <mergeCell ref="O11:P11"/>
    <mergeCell ref="J12:N12"/>
    <mergeCell ref="C11:N11"/>
  </mergeCells>
  <hyperlinks>
    <hyperlink ref="J12" r:id="rId1" xr:uid="{6A37C7CE-D0CA-4309-8125-2D7BAC28190E}"/>
    <hyperlink ref="J6" r:id="rId2" xr:uid="{92D04B9E-5DD0-4719-BA33-A8C032181FFE}"/>
  </hyperlinks>
  <printOptions horizontalCentered="1"/>
  <pageMargins left="0.23622047244094491" right="0.23622047244094491" top="0.55118110236220474" bottom="0.55118110236220474" header="0.31496062992125984" footer="0.31496062992125984"/>
  <pageSetup paperSize="9" scale="56" fitToHeight="0" orientation="portrait" r:id="rId3"/>
  <headerFooter>
    <oddFooter>&amp;LFicha Eletrotécnica&amp;C&amp;D&amp;R&amp;P/&amp;N</oddFooter>
  </headerFooter>
  <drawing r:id="rId4"/>
  <legacyDrawing r:id="rId5"/>
  <controls>
    <mc:AlternateContent xmlns:mc="http://schemas.openxmlformats.org/markup-compatibility/2006">
      <mc:Choice Requires="x14">
        <control shapeId="1033" r:id="rId6" name="cmdb2">
          <controlPr defaultSize="0" autoFill="0" autoLine="0" autoPict="0" r:id="rId7">
            <anchor moveWithCells="1">
              <from>
                <xdr:col>0</xdr:col>
                <xdr:colOff>228600</xdr:colOff>
                <xdr:row>19</xdr:row>
                <xdr:rowOff>0</xdr:rowOff>
              </from>
              <to>
                <xdr:col>5</xdr:col>
                <xdr:colOff>9525</xdr:colOff>
                <xdr:row>20</xdr:row>
                <xdr:rowOff>28575</xdr:rowOff>
              </to>
            </anchor>
          </controlPr>
        </control>
      </mc:Choice>
      <mc:Fallback>
        <control shapeId="1033" r:id="rId6" name="cmdb2"/>
      </mc:Fallback>
    </mc:AlternateContent>
    <mc:AlternateContent xmlns:mc="http://schemas.openxmlformats.org/markup-compatibility/2006">
      <mc:Choice Requires="x14">
        <control shapeId="1025" r:id="rId8" name="cmdb1">
          <controlPr defaultSize="0" autoFill="0" autoLine="0" autoPict="0" r:id="rId9">
            <anchor moveWithCells="1">
              <from>
                <xdr:col>0</xdr:col>
                <xdr:colOff>228600</xdr:colOff>
                <xdr:row>34</xdr:row>
                <xdr:rowOff>180975</xdr:rowOff>
              </from>
              <to>
                <xdr:col>5</xdr:col>
                <xdr:colOff>9525</xdr:colOff>
                <xdr:row>36</xdr:row>
                <xdr:rowOff>19050</xdr:rowOff>
              </to>
            </anchor>
          </controlPr>
        </control>
      </mc:Choice>
      <mc:Fallback>
        <control shapeId="1025" r:id="rId8" name="cmdb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Dados!$G$3:$G$11</xm:f>
          </x14:formula1>
          <xm:sqref>F23</xm:sqref>
        </x14:dataValidation>
        <x14:dataValidation type="list" allowBlank="1" showInputMessage="1" showErrorMessage="1" xr:uid="{00000000-0002-0000-0000-000001000000}">
          <x14:formula1>
            <xm:f>Dados!$B$3:$B$17</xm:f>
          </x14:formula1>
          <xm:sqref>F24</xm:sqref>
        </x14:dataValidation>
        <x14:dataValidation type="list" allowBlank="1" showInputMessage="1" showErrorMessage="1" xr:uid="{00000000-0002-0000-0000-000002000000}">
          <x14:formula1>
            <xm:f>Dados!$B$20:$B$23</xm:f>
          </x14:formula1>
          <xm:sqref>B28:B34</xm:sqref>
        </x14:dataValidation>
        <x14:dataValidation type="list" allowBlank="1" showInputMessage="1" showErrorMessage="1" xr:uid="{00000000-0002-0000-0000-000003000000}">
          <x14:formula1>
            <xm:f>Dados!$D$3:$D$58</xm:f>
          </x14:formula1>
          <xm:sqref>M28:M34</xm:sqref>
        </x14:dataValidation>
        <x14:dataValidation type="list" allowBlank="1" showInputMessage="1" showErrorMessage="1" xr:uid="{00000000-0002-0000-0000-000004000000}">
          <x14:formula1>
            <xm:f>Dados!$B$28:$B$30</xm:f>
          </x14:formula1>
          <xm:sqref>O28:O34</xm:sqref>
        </x14:dataValidation>
        <x14:dataValidation type="list" allowBlank="1" showInputMessage="1" showErrorMessage="1" xr:uid="{00000000-0002-0000-0000-000005000000}">
          <x14:formula1>
            <xm:f>Dados!$B$33:$B$35</xm:f>
          </x14:formula1>
          <xm:sqref>Q23</xm:sqref>
        </x14:dataValidation>
        <x14:dataValidation type="list" allowBlank="1" showInputMessage="1" showErrorMessage="1" xr:uid="{00000000-0002-0000-0000-000006000000}">
          <x14:formula1>
            <xm:f>Dados!$B$45:$B$65</xm:f>
          </x14:formula1>
          <xm:sqref>F16:F18 C28:C34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2:G67"/>
  <sheetViews>
    <sheetView zoomScaleNormal="100" workbookViewId="0">
      <selection activeCell="C14" sqref="C14"/>
    </sheetView>
  </sheetViews>
  <sheetFormatPr defaultRowHeight="15" x14ac:dyDescent="0.25"/>
  <cols>
    <col min="2" max="2" width="59.140625" bestFit="1" customWidth="1"/>
    <col min="4" max="4" width="45.85546875" bestFit="1" customWidth="1"/>
    <col min="7" max="7" width="20" bestFit="1" customWidth="1"/>
  </cols>
  <sheetData>
    <row r="2" spans="2:7" x14ac:dyDescent="0.25">
      <c r="B2" s="4" t="s">
        <v>116</v>
      </c>
      <c r="D2" s="5" t="s">
        <v>117</v>
      </c>
      <c r="F2" s="6"/>
      <c r="G2" s="4" t="s">
        <v>25</v>
      </c>
    </row>
    <row r="3" spans="2:7" x14ac:dyDescent="0.25">
      <c r="B3" s="4"/>
      <c r="D3" s="5"/>
      <c r="F3" s="6"/>
      <c r="G3" s="4"/>
    </row>
    <row r="4" spans="2:7" x14ac:dyDescent="0.25">
      <c r="B4" s="7" t="s">
        <v>35</v>
      </c>
      <c r="D4" s="7" t="s">
        <v>27</v>
      </c>
      <c r="F4" s="8"/>
      <c r="G4" s="9" t="s">
        <v>28</v>
      </c>
    </row>
    <row r="5" spans="2:7" x14ac:dyDescent="0.25">
      <c r="B5" s="7" t="s">
        <v>38</v>
      </c>
      <c r="D5" s="7" t="s">
        <v>30</v>
      </c>
      <c r="F5" s="8"/>
      <c r="G5" s="7" t="s">
        <v>46</v>
      </c>
    </row>
    <row r="6" spans="2:7" x14ac:dyDescent="0.25">
      <c r="B6" s="9" t="s">
        <v>41</v>
      </c>
      <c r="D6" s="7" t="s">
        <v>33</v>
      </c>
      <c r="F6" s="8"/>
      <c r="G6" s="7" t="s">
        <v>34</v>
      </c>
    </row>
    <row r="7" spans="2:7" x14ac:dyDescent="0.25">
      <c r="B7" s="7" t="s">
        <v>44</v>
      </c>
      <c r="D7" s="7" t="s">
        <v>36</v>
      </c>
      <c r="F7" s="8"/>
      <c r="G7" s="7" t="s">
        <v>37</v>
      </c>
    </row>
    <row r="8" spans="2:7" x14ac:dyDescent="0.25">
      <c r="B8" s="7" t="s">
        <v>26</v>
      </c>
      <c r="D8" s="7" t="s">
        <v>39</v>
      </c>
      <c r="F8" s="8"/>
      <c r="G8" s="7" t="s">
        <v>49</v>
      </c>
    </row>
    <row r="9" spans="2:7" x14ac:dyDescent="0.25">
      <c r="B9" s="7" t="s">
        <v>47</v>
      </c>
      <c r="D9" s="7" t="s">
        <v>42</v>
      </c>
      <c r="F9" s="8"/>
      <c r="G9" s="7" t="s">
        <v>40</v>
      </c>
    </row>
    <row r="10" spans="2:7" x14ac:dyDescent="0.25">
      <c r="B10" s="7" t="s">
        <v>56</v>
      </c>
      <c r="D10" s="7" t="s">
        <v>45</v>
      </c>
      <c r="F10" s="8"/>
      <c r="G10" s="7" t="s">
        <v>43</v>
      </c>
    </row>
    <row r="11" spans="2:7" x14ac:dyDescent="0.25">
      <c r="B11" s="7" t="s">
        <v>29</v>
      </c>
      <c r="D11" s="7" t="s">
        <v>48</v>
      </c>
      <c r="F11" s="8"/>
      <c r="G11" s="7" t="s">
        <v>31</v>
      </c>
    </row>
    <row r="12" spans="2:7" x14ac:dyDescent="0.25">
      <c r="B12" s="7" t="s">
        <v>32</v>
      </c>
      <c r="D12" s="7" t="s">
        <v>51</v>
      </c>
      <c r="F12" s="8"/>
      <c r="G12" s="7"/>
    </row>
    <row r="13" spans="2:7" x14ac:dyDescent="0.25">
      <c r="B13" s="7" t="s">
        <v>58</v>
      </c>
      <c r="D13" s="7" t="s">
        <v>53</v>
      </c>
      <c r="F13" s="8"/>
      <c r="G13" s="7"/>
    </row>
    <row r="14" spans="2:7" x14ac:dyDescent="0.25">
      <c r="B14" s="7" t="s">
        <v>60</v>
      </c>
      <c r="D14" s="7" t="s">
        <v>55</v>
      </c>
      <c r="F14" s="8"/>
      <c r="G14" s="7"/>
    </row>
    <row r="15" spans="2:7" x14ac:dyDescent="0.25">
      <c r="B15" s="7" t="s">
        <v>54</v>
      </c>
      <c r="D15" s="7" t="s">
        <v>115</v>
      </c>
    </row>
    <row r="16" spans="2:7" x14ac:dyDescent="0.25">
      <c r="B16" s="10" t="s">
        <v>50</v>
      </c>
      <c r="D16" s="7" t="s">
        <v>57</v>
      </c>
    </row>
    <row r="17" spans="2:6" x14ac:dyDescent="0.25">
      <c r="B17" s="7" t="s">
        <v>52</v>
      </c>
      <c r="D17" s="7" t="s">
        <v>59</v>
      </c>
    </row>
    <row r="18" spans="2:6" x14ac:dyDescent="0.25">
      <c r="D18" s="7" t="s">
        <v>61</v>
      </c>
    </row>
    <row r="19" spans="2:6" x14ac:dyDescent="0.25">
      <c r="B19" s="11" t="s">
        <v>63</v>
      </c>
      <c r="D19" s="7" t="s">
        <v>62</v>
      </c>
      <c r="F19" s="7" t="s">
        <v>65</v>
      </c>
    </row>
    <row r="20" spans="2:6" x14ac:dyDescent="0.25">
      <c r="B20" s="7"/>
      <c r="D20" s="9" t="s">
        <v>64</v>
      </c>
      <c r="F20" s="7"/>
    </row>
    <row r="21" spans="2:6" x14ac:dyDescent="0.25">
      <c r="B21" s="12" t="s">
        <v>67</v>
      </c>
      <c r="D21" s="7" t="s">
        <v>66</v>
      </c>
      <c r="F21" s="7" t="s">
        <v>69</v>
      </c>
    </row>
    <row r="22" spans="2:6" x14ac:dyDescent="0.25">
      <c r="B22" s="12" t="s">
        <v>70</v>
      </c>
      <c r="D22" s="7" t="s">
        <v>68</v>
      </c>
      <c r="F22" s="7" t="s">
        <v>72</v>
      </c>
    </row>
    <row r="23" spans="2:6" x14ac:dyDescent="0.25">
      <c r="B23" s="7" t="s">
        <v>21</v>
      </c>
      <c r="D23" s="7" t="s">
        <v>71</v>
      </c>
    </row>
    <row r="24" spans="2:6" x14ac:dyDescent="0.25">
      <c r="B24" s="7"/>
      <c r="D24" s="7" t="s">
        <v>73</v>
      </c>
    </row>
    <row r="25" spans="2:6" x14ac:dyDescent="0.25">
      <c r="B25" s="7"/>
      <c r="D25" s="7" t="s">
        <v>98</v>
      </c>
    </row>
    <row r="26" spans="2:6" x14ac:dyDescent="0.25">
      <c r="D26" s="7" t="s">
        <v>99</v>
      </c>
    </row>
    <row r="27" spans="2:6" x14ac:dyDescent="0.25">
      <c r="B27" s="11" t="s">
        <v>18</v>
      </c>
      <c r="D27" s="7" t="s">
        <v>100</v>
      </c>
    </row>
    <row r="28" spans="2:6" x14ac:dyDescent="0.25">
      <c r="B28" s="7"/>
      <c r="D28" s="7" t="s">
        <v>102</v>
      </c>
    </row>
    <row r="29" spans="2:6" x14ac:dyDescent="0.25">
      <c r="B29" s="7" t="s">
        <v>79</v>
      </c>
      <c r="D29" s="7" t="s">
        <v>104</v>
      </c>
    </row>
    <row r="30" spans="2:6" x14ac:dyDescent="0.25">
      <c r="B30" s="7" t="s">
        <v>24</v>
      </c>
      <c r="D30" s="7" t="s">
        <v>106</v>
      </c>
    </row>
    <row r="31" spans="2:6" x14ac:dyDescent="0.25">
      <c r="D31" s="7" t="s">
        <v>107</v>
      </c>
    </row>
    <row r="32" spans="2:6" x14ac:dyDescent="0.25">
      <c r="B32" s="11" t="s">
        <v>83</v>
      </c>
      <c r="D32" s="7" t="s">
        <v>74</v>
      </c>
    </row>
    <row r="33" spans="2:4" x14ac:dyDescent="0.25">
      <c r="B33" s="7"/>
      <c r="D33" s="7" t="s">
        <v>75</v>
      </c>
    </row>
    <row r="34" spans="2:4" x14ac:dyDescent="0.25">
      <c r="B34" s="7" t="s">
        <v>23</v>
      </c>
      <c r="D34" s="7" t="s">
        <v>76</v>
      </c>
    </row>
    <row r="35" spans="2:4" x14ac:dyDescent="0.25">
      <c r="B35" s="7" t="s">
        <v>87</v>
      </c>
      <c r="D35" s="7" t="s">
        <v>77</v>
      </c>
    </row>
    <row r="36" spans="2:4" x14ac:dyDescent="0.25">
      <c r="D36" s="7" t="s">
        <v>114</v>
      </c>
    </row>
    <row r="37" spans="2:4" x14ac:dyDescent="0.25">
      <c r="B37" s="13"/>
      <c r="D37" s="7" t="s">
        <v>78</v>
      </c>
    </row>
    <row r="38" spans="2:4" x14ac:dyDescent="0.25">
      <c r="D38" s="7" t="s">
        <v>80</v>
      </c>
    </row>
    <row r="39" spans="2:4" x14ac:dyDescent="0.25">
      <c r="D39" s="7" t="s">
        <v>81</v>
      </c>
    </row>
    <row r="40" spans="2:4" x14ac:dyDescent="0.25">
      <c r="D40" s="7" t="s">
        <v>82</v>
      </c>
    </row>
    <row r="41" spans="2:4" x14ac:dyDescent="0.25">
      <c r="D41" s="7" t="s">
        <v>84</v>
      </c>
    </row>
    <row r="42" spans="2:4" x14ac:dyDescent="0.25">
      <c r="D42" s="7" t="s">
        <v>85</v>
      </c>
    </row>
    <row r="43" spans="2:4" x14ac:dyDescent="0.25">
      <c r="D43" s="7" t="s">
        <v>86</v>
      </c>
    </row>
    <row r="44" spans="2:4" x14ac:dyDescent="0.25">
      <c r="B44" s="14" t="s">
        <v>97</v>
      </c>
      <c r="D44" s="7" t="s">
        <v>88</v>
      </c>
    </row>
    <row r="45" spans="2:4" x14ac:dyDescent="0.25">
      <c r="B45" s="9"/>
      <c r="D45" s="27" t="s">
        <v>90</v>
      </c>
    </row>
    <row r="46" spans="2:4" x14ac:dyDescent="0.25">
      <c r="B46" s="9" t="s">
        <v>22</v>
      </c>
      <c r="D46" s="7" t="s">
        <v>89</v>
      </c>
    </row>
    <row r="47" spans="2:4" x14ac:dyDescent="0.25">
      <c r="B47" s="9" t="s">
        <v>101</v>
      </c>
      <c r="D47" s="7" t="s">
        <v>91</v>
      </c>
    </row>
    <row r="48" spans="2:4" x14ac:dyDescent="0.25">
      <c r="B48" s="9" t="s">
        <v>103</v>
      </c>
      <c r="D48" s="7" t="s">
        <v>92</v>
      </c>
    </row>
    <row r="49" spans="2:4" x14ac:dyDescent="0.25">
      <c r="B49" s="9" t="s">
        <v>105</v>
      </c>
      <c r="D49" s="7" t="s">
        <v>93</v>
      </c>
    </row>
    <row r="50" spans="2:4" x14ac:dyDescent="0.25">
      <c r="B50" s="9" t="s">
        <v>128</v>
      </c>
      <c r="D50" s="7" t="s">
        <v>94</v>
      </c>
    </row>
    <row r="51" spans="2:4" x14ac:dyDescent="0.25">
      <c r="B51" s="9" t="s">
        <v>129</v>
      </c>
      <c r="D51" s="7" t="s">
        <v>95</v>
      </c>
    </row>
    <row r="52" spans="2:4" x14ac:dyDescent="0.25">
      <c r="B52" s="9" t="s">
        <v>130</v>
      </c>
      <c r="D52" s="7" t="s">
        <v>96</v>
      </c>
    </row>
    <row r="53" spans="2:4" x14ac:dyDescent="0.25">
      <c r="B53" s="9" t="s">
        <v>131</v>
      </c>
      <c r="D53" s="7" t="s">
        <v>108</v>
      </c>
    </row>
    <row r="54" spans="2:4" x14ac:dyDescent="0.25">
      <c r="B54" s="9" t="s">
        <v>132</v>
      </c>
      <c r="D54" s="7" t="s">
        <v>109</v>
      </c>
    </row>
    <row r="55" spans="2:4" x14ac:dyDescent="0.25">
      <c r="B55" s="9" t="s">
        <v>133</v>
      </c>
      <c r="D55" s="7" t="s">
        <v>110</v>
      </c>
    </row>
    <row r="56" spans="2:4" x14ac:dyDescent="0.25">
      <c r="B56" s="9" t="s">
        <v>134</v>
      </c>
      <c r="D56" s="7" t="s">
        <v>111</v>
      </c>
    </row>
    <row r="57" spans="2:4" x14ac:dyDescent="0.25">
      <c r="B57" s="9" t="s">
        <v>135</v>
      </c>
      <c r="D57" s="7" t="s">
        <v>112</v>
      </c>
    </row>
    <row r="58" spans="2:4" x14ac:dyDescent="0.25">
      <c r="B58" s="9" t="s">
        <v>136</v>
      </c>
      <c r="D58" s="7" t="s">
        <v>113</v>
      </c>
    </row>
    <row r="59" spans="2:4" x14ac:dyDescent="0.25">
      <c r="B59" s="9" t="s">
        <v>137</v>
      </c>
    </row>
    <row r="60" spans="2:4" x14ac:dyDescent="0.25">
      <c r="B60" s="9" t="s">
        <v>138</v>
      </c>
    </row>
    <row r="61" spans="2:4" x14ac:dyDescent="0.25">
      <c r="B61" s="9" t="s">
        <v>139</v>
      </c>
    </row>
    <row r="62" spans="2:4" x14ac:dyDescent="0.25">
      <c r="B62" s="9" t="s">
        <v>140</v>
      </c>
    </row>
    <row r="63" spans="2:4" x14ac:dyDescent="0.25">
      <c r="B63" s="9" t="s">
        <v>141</v>
      </c>
    </row>
    <row r="64" spans="2:4" x14ac:dyDescent="0.25">
      <c r="B64" s="9" t="s">
        <v>142</v>
      </c>
    </row>
    <row r="65" spans="2:2" x14ac:dyDescent="0.25">
      <c r="B65" s="9" t="s">
        <v>143</v>
      </c>
    </row>
    <row r="66" spans="2:2" x14ac:dyDescent="0.25">
      <c r="B66" s="20"/>
    </row>
    <row r="67" spans="2:2" x14ac:dyDescent="0.25">
      <c r="B67" s="20"/>
    </row>
  </sheetData>
  <sheetProtection selectLockedCells="1" selectUnlockedCells="1"/>
  <sortState xmlns:xlrd2="http://schemas.microsoft.com/office/spreadsheetml/2017/richdata2" ref="G5:G11">
    <sortCondition ref="G4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C6FB125B8E53C4B881ACDD7310999D8" ma:contentTypeVersion="11" ma:contentTypeDescription="Criar um novo documento." ma:contentTypeScope="" ma:versionID="785569bb1f425eea28b352e6f763fc6a">
  <xsd:schema xmlns:xsd="http://www.w3.org/2001/XMLSchema" xmlns:xs="http://www.w3.org/2001/XMLSchema" xmlns:p="http://schemas.microsoft.com/office/2006/metadata/properties" xmlns:ns2="9b744be4-98c0-4cc8-8cdc-e6d511b9c7ce" xmlns:ns3="72169b92-dff0-449b-befa-c44ef96a299b" targetNamespace="http://schemas.microsoft.com/office/2006/metadata/properties" ma:root="true" ma:fieldsID="b7d5da3c0c9a00bd7717bf66e7b79d6f" ns2:_="" ns3:_="">
    <xsd:import namespace="9b744be4-98c0-4cc8-8cdc-e6d511b9c7ce"/>
    <xsd:import namespace="72169b92-dff0-449b-befa-c44ef96a29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744be4-98c0-4cc8-8cdc-e6d511b9c7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m" ma:readOnly="false" ma:fieldId="{5cf76f15-5ced-4ddc-b409-7134ff3c332f}" ma:taxonomyMulti="true" ma:sspId="93f449cc-063f-4890-80cb-d4bc6853fd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169b92-dff0-449b-befa-c44ef96a299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5796a4c-bd6c-40db-a488-b7fb096bc386}" ma:internalName="TaxCatchAll" ma:showField="CatchAllData" ma:web="72169b92-dff0-449b-befa-c44ef96a29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b744be4-98c0-4cc8-8cdc-e6d511b9c7ce">
      <Terms xmlns="http://schemas.microsoft.com/office/infopath/2007/PartnerControls"/>
    </lcf76f155ced4ddcb4097134ff3c332f>
    <TaxCatchAll xmlns="72169b92-dff0-449b-befa-c44ef96a299b" xsi:nil="true"/>
  </documentManagement>
</p:properties>
</file>

<file path=customXml/itemProps1.xml><?xml version="1.0" encoding="utf-8"?>
<ds:datastoreItem xmlns:ds="http://schemas.openxmlformats.org/officeDocument/2006/customXml" ds:itemID="{CF074E61-3542-44DD-9553-29BCCFFB4B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625C1C-7D4D-4D30-AB9F-427598D87441}"/>
</file>

<file path=customXml/itemProps3.xml><?xml version="1.0" encoding="utf-8"?>
<ds:datastoreItem xmlns:ds="http://schemas.openxmlformats.org/officeDocument/2006/customXml" ds:itemID="{1EC848E3-2E9E-49C9-B4CC-4AD4E770DCCA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  <ds:schemaRef ds:uri="04792bc3-c41d-4100-aa1e-dcc4a752607a"/>
    <ds:schemaRef ds:uri="http://schemas.openxmlformats.org/package/2006/metadata/core-properties"/>
    <ds:schemaRef ds:uri="1d686f00-4671-4ae8-88ac-be40c43ca6a4"/>
    <ds:schemaRef ds:uri="http://purl.org/dc/dcmitype/"/>
    <ds:schemaRef ds:uri="9b744be4-98c0-4cc8-8cdc-e6d511b9c7ce"/>
    <ds:schemaRef ds:uri="72169b92-dff0-449b-befa-c44ef96a299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2</vt:i4>
      </vt:variant>
    </vt:vector>
  </HeadingPairs>
  <TitlesOfParts>
    <vt:vector size="4" baseType="lpstr">
      <vt:lpstr>Ficha Eletrotecnica</vt:lpstr>
      <vt:lpstr>Dados</vt:lpstr>
      <vt:lpstr>'Ficha Eletrotecnica'!Área_de_Impressão</vt:lpstr>
      <vt:lpstr>'Ficha Eletrotecnica'!Títulos_de_Impressão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2026-01-16T10:46:02Z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1441200</vt:r8>
  </property>
  <property fmtid="{D5CDD505-2E9C-101B-9397-08002B2CF9AE}" pid="3" name="ContentTypeId">
    <vt:lpwstr>0x0101007C6FB125B8E53C4B881ACDD7310999D8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ediaServiceImageTags">
    <vt:lpwstr/>
  </property>
</Properties>
</file>