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uu.sharepoint.com/sites/39962025_BIBLICA_ProjetoBibliotecaCantanhede/Documentos Partilhados/1_COORD/3_ESP/2-PE/TUU Interno/6-ELE/1-PE/CALC dU/"/>
    </mc:Choice>
  </mc:AlternateContent>
  <xr:revisionPtr revIDLastSave="1276" documentId="13_ncr:1_{551080FF-635A-48EA-8072-A4D0958244C3}" xr6:coauthVersionLast="47" xr6:coauthVersionMax="47" xr10:uidLastSave="{C25D467F-2F37-4B81-A567-574071EA4443}"/>
  <bookViews>
    <workbookView xWindow="-28920" yWindow="-3540" windowWidth="29040" windowHeight="15720" xr2:uid="{50752F63-8189-4685-88A9-BD28BEC24C29}"/>
  </bookViews>
  <sheets>
    <sheet name="Folha1" sheetId="1" r:id="rId1"/>
  </sheets>
  <definedNames>
    <definedName name="_xlnm.Print_Area" localSheetId="0">Folha1!$B$1:$AG$33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4" i="1" l="1"/>
  <c r="V26" i="1"/>
  <c r="U14" i="1"/>
  <c r="W12" i="1"/>
  <c r="P12" i="1"/>
  <c r="O12" i="1"/>
  <c r="K12" i="1"/>
  <c r="W27" i="1"/>
  <c r="P14" i="1"/>
  <c r="O14" i="1"/>
  <c r="K17" i="1"/>
  <c r="K22" i="1"/>
  <c r="K18" i="1"/>
  <c r="W14" i="1"/>
  <c r="K27" i="1"/>
  <c r="K29" i="1"/>
  <c r="K30" i="1"/>
  <c r="K31" i="1"/>
  <c r="K32" i="1"/>
  <c r="K28" i="1"/>
  <c r="O27" i="1" l="1"/>
  <c r="P27" i="1"/>
  <c r="I27" i="1"/>
  <c r="W28" i="1"/>
  <c r="P28" i="1"/>
  <c r="O28" i="1"/>
  <c r="I28" i="1"/>
  <c r="W30" i="1"/>
  <c r="P30" i="1"/>
  <c r="O30" i="1"/>
  <c r="I30" i="1"/>
  <c r="W29" i="1"/>
  <c r="P29" i="1"/>
  <c r="O29" i="1"/>
  <c r="I29" i="1"/>
  <c r="W32" i="1"/>
  <c r="P32" i="1"/>
  <c r="O32" i="1"/>
  <c r="I32" i="1"/>
  <c r="W31" i="1"/>
  <c r="P31" i="1"/>
  <c r="O31" i="1"/>
  <c r="I31" i="1"/>
  <c r="W26" i="1"/>
  <c r="P26" i="1"/>
  <c r="O26" i="1"/>
  <c r="K26" i="1"/>
  <c r="I26" i="1"/>
  <c r="W24" i="1" l="1"/>
  <c r="P24" i="1"/>
  <c r="O24" i="1"/>
  <c r="K24" i="1"/>
  <c r="I24" i="1"/>
  <c r="W23" i="1"/>
  <c r="P23" i="1"/>
  <c r="O23" i="1"/>
  <c r="K23" i="1"/>
  <c r="I23" i="1"/>
  <c r="W22" i="1"/>
  <c r="P22" i="1"/>
  <c r="O22" i="1"/>
  <c r="I22" i="1"/>
  <c r="W21" i="1"/>
  <c r="P21" i="1"/>
  <c r="O21" i="1"/>
  <c r="K21" i="1"/>
  <c r="I21" i="1"/>
  <c r="W20" i="1"/>
  <c r="P20" i="1"/>
  <c r="O20" i="1"/>
  <c r="K20" i="1"/>
  <c r="I20" i="1"/>
  <c r="W19" i="1"/>
  <c r="P19" i="1"/>
  <c r="O19" i="1"/>
  <c r="K19" i="1"/>
  <c r="I19" i="1"/>
  <c r="W18" i="1"/>
  <c r="P18" i="1"/>
  <c r="O18" i="1"/>
  <c r="I18" i="1"/>
  <c r="K25" i="1"/>
  <c r="O25" i="1"/>
  <c r="P25" i="1"/>
  <c r="I25" i="1"/>
  <c r="W17" i="1"/>
  <c r="W25" i="1"/>
  <c r="O17" i="1"/>
  <c r="P17" i="1"/>
  <c r="I17" i="1"/>
  <c r="W15" i="1"/>
  <c r="K16" i="1"/>
  <c r="V12" i="1"/>
  <c r="I16" i="1"/>
  <c r="O16" i="1"/>
  <c r="P16" i="1"/>
  <c r="W16" i="1"/>
  <c r="O15" i="1"/>
  <c r="U26" i="1" l="1"/>
  <c r="U25" i="1"/>
  <c r="U23" i="1"/>
  <c r="U20" i="1"/>
  <c r="U19" i="1"/>
  <c r="U18" i="1"/>
  <c r="U17" i="1"/>
  <c r="U16" i="1"/>
  <c r="U15" i="1"/>
  <c r="U22" i="1"/>
  <c r="V14" i="1"/>
  <c r="V16" i="1" l="1"/>
  <c r="V25" i="1"/>
  <c r="U27" i="1" s="1"/>
  <c r="V27" i="1" s="1"/>
  <c r="P15" i="1"/>
  <c r="K15" i="1"/>
  <c r="V15" i="1" s="1"/>
  <c r="I15" i="1"/>
  <c r="V17" i="1" l="1"/>
  <c r="V18" i="1"/>
  <c r="V20" i="1" s="1"/>
  <c r="I14" i="1"/>
  <c r="I12" i="1"/>
  <c r="U21" i="1" l="1"/>
  <c r="V21" i="1" s="1"/>
  <c r="V23" i="1" s="1"/>
  <c r="V19" i="1"/>
  <c r="K14" i="1"/>
  <c r="V22" i="1" l="1"/>
  <c r="U28" i="1" l="1"/>
  <c r="U32" i="1"/>
  <c r="V32" i="1" s="1"/>
  <c r="U31" i="1"/>
  <c r="U30" i="1"/>
  <c r="V30" i="1" s="1"/>
  <c r="U29" i="1"/>
  <c r="V29" i="1" s="1"/>
  <c r="V31" i="1"/>
  <c r="V28" i="1"/>
</calcChain>
</file>

<file path=xl/sharedStrings.xml><?xml version="1.0" encoding="utf-8"?>
<sst xmlns="http://schemas.openxmlformats.org/spreadsheetml/2006/main" count="242" uniqueCount="84">
  <si>
    <t>QUADRO ELÉTRICO</t>
  </si>
  <si>
    <t>TIPO C</t>
  </si>
  <si>
    <t>Origem</t>
  </si>
  <si>
    <t>Destino</t>
  </si>
  <si>
    <t>Nº de Quadros 
Tipo</t>
  </si>
  <si>
    <r>
      <t>Norma [kVA]
(S=</t>
    </r>
    <r>
      <rPr>
        <b/>
        <sz val="11"/>
        <color theme="1"/>
        <rFont val="Calibri"/>
        <family val="2"/>
      </rPr>
      <t>√3xUxIB)</t>
    </r>
  </si>
  <si>
    <t>Tensão 
Nominal (U)</t>
  </si>
  <si>
    <t>Socorro [kVA]</t>
  </si>
  <si>
    <t>Segurança [kVA]</t>
  </si>
  <si>
    <t>TOTAL INSTALADO</t>
  </si>
  <si>
    <r>
      <t>I</t>
    </r>
    <r>
      <rPr>
        <b/>
        <sz val="11"/>
        <color theme="1"/>
        <rFont val="Calibri"/>
        <family val="2"/>
      </rPr>
      <t>∆n
[mA]</t>
    </r>
  </si>
  <si>
    <t>Canalização</t>
  </si>
  <si>
    <t>F</t>
  </si>
  <si>
    <t>D</t>
  </si>
  <si>
    <t>PROTECÇÃO</t>
  </si>
  <si>
    <t>CANALIZAÇÃO A INSTALAR</t>
  </si>
  <si>
    <t>CALCULO DE Q.D.T E ICC</t>
  </si>
  <si>
    <t>COMPRIMENTO
[m]</t>
  </si>
  <si>
    <t>Q.D.T Troço
[%]</t>
  </si>
  <si>
    <t>Q.D.T MONTANTE
[%]</t>
  </si>
  <si>
    <t>Q.D.T TOTAL
[%]</t>
  </si>
  <si>
    <r>
      <t>Imped Troço
[</t>
    </r>
    <r>
      <rPr>
        <sz val="11"/>
        <color theme="1"/>
        <rFont val="Calibri"/>
        <family val="2"/>
      </rPr>
      <t>Ω]</t>
    </r>
  </si>
  <si>
    <t>PdC
[kA]</t>
  </si>
  <si>
    <t>CORTE GERAL
JUSANTE [A]</t>
  </si>
  <si>
    <t>-</t>
  </si>
  <si>
    <t>TIPO DE INSTALAÇÃO</t>
  </si>
  <si>
    <t>MONOPOLAR (MON)
MULTIPOLAR (MUL)</t>
  </si>
  <si>
    <t>ISOLAMENTO</t>
  </si>
  <si>
    <t>Cu=Cobre
Al=Aluminio</t>
  </si>
  <si>
    <t>Mét Refª RTIEBT</t>
  </si>
  <si>
    <t>Quadro Calc RTIEBT</t>
  </si>
  <si>
    <t>MUL</t>
  </si>
  <si>
    <t>1=MONOFÁSICO 3=TRIFÁSICO</t>
  </si>
  <si>
    <t>XLPE</t>
  </si>
  <si>
    <t>Cu</t>
  </si>
  <si>
    <t>52-C30</t>
  </si>
  <si>
    <t>EDIFÍCIO</t>
  </si>
  <si>
    <t>AO AR  ESTEIRA (EST)
ENTERRADO (ENT)
EMBEBIDO (TUB)</t>
  </si>
  <si>
    <t>TIPO
F (Fusível)
D (Disjuntor)</t>
  </si>
  <si>
    <t xml:space="preserve">IB
[A]
</t>
  </si>
  <si>
    <t xml:space="preserve">In
[A]
</t>
  </si>
  <si>
    <t xml:space="preserve">Iz do cabo
[A]
</t>
  </si>
  <si>
    <t xml:space="preserve">I2
[A]
</t>
  </si>
  <si>
    <t xml:space="preserve">1,45 Iz
[A]
</t>
  </si>
  <si>
    <t>Q.E.G.</t>
  </si>
  <si>
    <t>ENTRADA DE ENERGIA</t>
  </si>
  <si>
    <t>Q.AVAC</t>
  </si>
  <si>
    <t>B</t>
  </si>
  <si>
    <t>Q.FV.AC</t>
  </si>
  <si>
    <t>MON</t>
  </si>
  <si>
    <t>ENT</t>
  </si>
  <si>
    <t>EST</t>
  </si>
  <si>
    <t>52-C11</t>
  </si>
  <si>
    <t>RZ1-K (AS) 5G6mm2</t>
  </si>
  <si>
    <t>RZ1-K (AS) 5G10mm2</t>
  </si>
  <si>
    <t>RZ1-K (AS) 5G4mm2</t>
  </si>
  <si>
    <t>Q.P.ADMIN</t>
  </si>
  <si>
    <t>Q.P.ATRIO</t>
  </si>
  <si>
    <t>Q.P.CAFETARIA</t>
  </si>
  <si>
    <t>Q.P.REGIE</t>
  </si>
  <si>
    <t>Q.P.BIB.INFANT.</t>
  </si>
  <si>
    <t>Q.P.BIB.ADULTOS</t>
  </si>
  <si>
    <t>Q.P.REPROGRAFIA</t>
  </si>
  <si>
    <t>Q.P.ARQUIVO</t>
  </si>
  <si>
    <t>Q.P.EXTERIOR</t>
  </si>
  <si>
    <t>UPS 10kVA</t>
  </si>
  <si>
    <t>UPS 30kVA Desenf</t>
  </si>
  <si>
    <t>CVE 2</t>
  </si>
  <si>
    <t>CVE 3</t>
  </si>
  <si>
    <t>CVE 4</t>
  </si>
  <si>
    <t>CVE 5</t>
  </si>
  <si>
    <t xml:space="preserve">CVE 1 </t>
  </si>
  <si>
    <t>Q.P.UPS.P-1</t>
  </si>
  <si>
    <t>RV-K 3G10mm2</t>
  </si>
  <si>
    <t>Portinhola</t>
  </si>
  <si>
    <t>RZ1-K (AS) 5G35mm2</t>
  </si>
  <si>
    <t>52-C4</t>
  </si>
  <si>
    <t>tubo</t>
  </si>
  <si>
    <t>esteira</t>
  </si>
  <si>
    <t>RZ1-K (AS) 5G70mm2</t>
  </si>
  <si>
    <t>RZ1-K (AS) 5G25mm2</t>
  </si>
  <si>
    <t>E,F</t>
  </si>
  <si>
    <t>XAV 4x1x185mm²</t>
  </si>
  <si>
    <t>Q.UPS 10kVA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</si>
</sst>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dotted">
        <color theme="0" tint="-0.34998626667073579"/>
      </bottom>
      <diagonal/>
    </border>
    <border>
      <left style="thin">
        <color indexed="64"/>
      </left>
      <right/>
      <top/>
      <bottom style="dotted">
        <color theme="0" tint="-0.34998626667073579"/>
      </bottom>
      <diagonal/>
    </border>
    <border>
      <left/>
      <right/>
      <top/>
      <bottom style="dotted">
        <color theme="0" tint="-0.34998626667073579"/>
      </bottom>
      <diagonal/>
    </border>
    <border>
      <left style="thin">
        <color indexed="64"/>
      </left>
      <right style="medium">
        <color indexed="64"/>
      </right>
      <top/>
      <bottom style="dotted">
        <color theme="0" tint="-0.34998626667073579"/>
      </bottom>
      <diagonal/>
    </border>
    <border>
      <left style="medium">
        <color indexed="64"/>
      </left>
      <right style="thin">
        <color indexed="64"/>
      </right>
      <top/>
      <bottom style="dotted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dotted">
        <color theme="0" tint="-0.34998626667073579"/>
      </bottom>
      <diagonal/>
    </border>
    <border>
      <left/>
      <right style="medium">
        <color indexed="64"/>
      </right>
      <top/>
      <bottom style="dotted">
        <color theme="0" tint="-0.34998626667073579"/>
      </bottom>
      <diagonal/>
    </border>
    <border>
      <left style="thin">
        <color indexed="64"/>
      </left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 style="thin">
        <color indexed="64"/>
      </left>
      <right style="medium">
        <color indexed="64"/>
      </right>
      <top style="dotted">
        <color theme="0" tint="-0.34998626667073579"/>
      </top>
      <bottom style="dotted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dotted">
        <color theme="0" tint="-0.34998626667073579"/>
      </top>
      <bottom style="dotted">
        <color theme="0" tint="-0.34998626667073579"/>
      </bottom>
      <diagonal/>
    </border>
    <border>
      <left style="thin">
        <color indexed="64"/>
      </left>
      <right style="thin">
        <color indexed="64"/>
      </right>
      <top style="dotted">
        <color theme="0" tint="-0.34998626667073579"/>
      </top>
      <bottom style="dotted">
        <color theme="0" tint="-0.34998626667073579"/>
      </bottom>
      <diagonal/>
    </border>
    <border>
      <left/>
      <right style="medium">
        <color indexed="64"/>
      </right>
      <top style="dotted">
        <color theme="0" tint="-0.34998626667073579"/>
      </top>
      <bottom style="dotted">
        <color theme="0" tint="-0.34998626667073579"/>
      </bottom>
      <diagonal/>
    </border>
    <border>
      <left style="medium">
        <color indexed="64"/>
      </left>
      <right/>
      <top style="dotted">
        <color theme="0" tint="-0.34998626667073579"/>
      </top>
      <bottom style="medium">
        <color indexed="64"/>
      </bottom>
      <diagonal/>
    </border>
    <border>
      <left style="thin">
        <color indexed="64"/>
      </left>
      <right/>
      <top style="dotted">
        <color theme="0" tint="-0.34998626667073579"/>
      </top>
      <bottom style="medium">
        <color indexed="64"/>
      </bottom>
      <diagonal/>
    </border>
    <border>
      <left/>
      <right/>
      <top style="dotted">
        <color theme="0" tint="-0.34998626667073579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dashed">
        <color theme="0" tint="-0.34998626667073579"/>
      </bottom>
      <diagonal/>
    </border>
    <border>
      <left style="thin">
        <color indexed="64"/>
      </left>
      <right style="medium">
        <color indexed="64"/>
      </right>
      <top/>
      <bottom style="dashed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dashed">
        <color theme="0" tint="-0.34998626667073579"/>
      </top>
      <bottom style="dashed">
        <color theme="0" tint="-0.34998626667073579"/>
      </bottom>
      <diagonal/>
    </border>
    <border>
      <left style="thin">
        <color indexed="64"/>
      </left>
      <right style="thin">
        <color indexed="64"/>
      </right>
      <top style="dashed">
        <color theme="0" tint="-0.34998626667073579"/>
      </top>
      <bottom style="dashed">
        <color theme="0" tint="-0.34998626667073579"/>
      </bottom>
      <diagonal/>
    </border>
    <border>
      <left style="thin">
        <color indexed="64"/>
      </left>
      <right style="medium">
        <color indexed="64"/>
      </right>
      <top style="dashed">
        <color theme="0" tint="-0.34998626667073579"/>
      </top>
      <bottom style="dashed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dashed">
        <color theme="0" tint="-0.3499862666707357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theme="0" tint="-0.34998626667073579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theme="0" tint="-0.34998626667073579"/>
      </top>
      <bottom style="medium">
        <color indexed="64"/>
      </bottom>
      <diagonal/>
    </border>
    <border>
      <left style="thin">
        <color indexed="64"/>
      </left>
      <right/>
      <top style="dotted">
        <color theme="0" tint="-0.34998626667073579"/>
      </top>
      <bottom/>
      <diagonal/>
    </border>
    <border>
      <left/>
      <right/>
      <top style="dotted">
        <color theme="0" tint="-0.34998626667073579"/>
      </top>
      <bottom/>
      <diagonal/>
    </border>
    <border>
      <left style="medium">
        <color indexed="64"/>
      </left>
      <right style="thin">
        <color indexed="64"/>
      </right>
      <top style="dashed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dashed">
        <color theme="0" tint="-0.34998626667073579"/>
      </top>
      <bottom/>
      <diagonal/>
    </border>
    <border>
      <left style="thin">
        <color indexed="64"/>
      </left>
      <right style="medium">
        <color indexed="64"/>
      </right>
      <top style="dashed">
        <color theme="0" tint="-0.34998626667073579"/>
      </top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2" borderId="0" xfId="0" applyFill="1"/>
    <xf numFmtId="0" fontId="0" fillId="2" borderId="2" xfId="0" applyFill="1" applyBorder="1"/>
    <xf numFmtId="0" fontId="0" fillId="0" borderId="3" xfId="0" applyBorder="1"/>
    <xf numFmtId="0" fontId="0" fillId="2" borderId="3" xfId="0" applyFill="1" applyBorder="1"/>
    <xf numFmtId="2" fontId="0" fillId="2" borderId="3" xfId="0" applyNumberFormat="1" applyFill="1" applyBorder="1"/>
    <xf numFmtId="0" fontId="0" fillId="0" borderId="12" xfId="0" applyBorder="1"/>
    <xf numFmtId="0" fontId="0" fillId="2" borderId="12" xfId="0" applyFill="1" applyBorder="1"/>
    <xf numFmtId="0" fontId="0" fillId="2" borderId="4" xfId="0" applyFill="1" applyBorder="1"/>
    <xf numFmtId="0" fontId="1" fillId="2" borderId="3" xfId="0" applyFont="1" applyFill="1" applyBorder="1" applyAlignment="1">
      <alignment horizontal="center" vertical="center" textRotation="90" wrapText="1"/>
    </xf>
    <xf numFmtId="0" fontId="1" fillId="2" borderId="7" xfId="0" applyFont="1" applyFill="1" applyBorder="1" applyAlignment="1">
      <alignment horizontal="center" vertical="center" textRotation="90" wrapText="1"/>
    </xf>
    <xf numFmtId="0" fontId="0" fillId="2" borderId="1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18" xfId="0" applyFont="1" applyFill="1" applyBorder="1" applyAlignment="1">
      <alignment horizontal="center" vertical="center" textRotation="90" wrapText="1"/>
    </xf>
    <xf numFmtId="0" fontId="0" fillId="0" borderId="6" xfId="0" applyBorder="1"/>
    <xf numFmtId="0" fontId="0" fillId="2" borderId="6" xfId="0" applyFill="1" applyBorder="1"/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4" xfId="0" applyFont="1" applyFill="1" applyBorder="1" applyAlignment="1">
      <alignment horizontal="center"/>
    </xf>
    <xf numFmtId="0" fontId="0" fillId="0" borderId="5" xfId="0" applyBorder="1"/>
    <xf numFmtId="0" fontId="0" fillId="0" borderId="22" xfId="0" applyBorder="1"/>
    <xf numFmtId="0" fontId="0" fillId="0" borderId="21" xfId="0" applyBorder="1"/>
    <xf numFmtId="0" fontId="0" fillId="0" borderId="28" xfId="0" applyBorder="1"/>
    <xf numFmtId="0" fontId="0" fillId="0" borderId="35" xfId="0" applyBorder="1"/>
    <xf numFmtId="2" fontId="0" fillId="0" borderId="35" xfId="0" applyNumberFormat="1" applyBorder="1" applyAlignment="1">
      <alignment horizontal="center"/>
    </xf>
    <xf numFmtId="0" fontId="0" fillId="0" borderId="36" xfId="0" applyBorder="1"/>
    <xf numFmtId="2" fontId="0" fillId="0" borderId="37" xfId="0" applyNumberFormat="1" applyBorder="1"/>
    <xf numFmtId="0" fontId="0" fillId="0" borderId="38" xfId="0" applyBorder="1" applyAlignment="1">
      <alignment horizontal="center"/>
    </xf>
    <xf numFmtId="164" fontId="0" fillId="0" borderId="39" xfId="0" applyNumberFormat="1" applyBorder="1"/>
    <xf numFmtId="0" fontId="0" fillId="0" borderId="39" xfId="0" applyBorder="1"/>
    <xf numFmtId="1" fontId="0" fillId="0" borderId="39" xfId="0" applyNumberFormat="1" applyBorder="1"/>
    <xf numFmtId="0" fontId="0" fillId="0" borderId="40" xfId="0" applyBorder="1"/>
    <xf numFmtId="0" fontId="0" fillId="0" borderId="40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1" fillId="2" borderId="0" xfId="0" applyFont="1" applyFill="1" applyAlignment="1">
      <alignment horizontal="center" vertical="center" textRotation="90" wrapText="1"/>
    </xf>
    <xf numFmtId="0" fontId="5" fillId="0" borderId="34" xfId="0" applyFont="1" applyBorder="1"/>
    <xf numFmtId="0" fontId="5" fillId="0" borderId="35" xfId="0" applyFont="1" applyBorder="1"/>
    <xf numFmtId="0" fontId="0" fillId="2" borderId="4" xfId="0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0" borderId="50" xfId="0" applyBorder="1"/>
    <xf numFmtId="0" fontId="0" fillId="0" borderId="38" xfId="0" applyBorder="1"/>
    <xf numFmtId="0" fontId="0" fillId="0" borderId="39" xfId="0" applyBorder="1" applyAlignment="1">
      <alignment horizontal="center"/>
    </xf>
    <xf numFmtId="0" fontId="0" fillId="3" borderId="4" xfId="0" applyFill="1" applyBorder="1" applyAlignment="1">
      <alignment horizontal="righ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5" fillId="0" borderId="44" xfId="0" applyFont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25" xfId="0" applyBorder="1"/>
    <xf numFmtId="0" fontId="0" fillId="0" borderId="26" xfId="0" applyBorder="1" applyAlignment="1">
      <alignment horizontal="center"/>
    </xf>
    <xf numFmtId="0" fontId="0" fillId="0" borderId="31" xfId="0" applyBorder="1"/>
    <xf numFmtId="0" fontId="0" fillId="0" borderId="3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3" xfId="0" applyBorder="1" applyAlignment="1">
      <alignment horizontal="center"/>
    </xf>
    <xf numFmtId="2" fontId="0" fillId="0" borderId="22" xfId="0" applyNumberForma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2" fontId="5" fillId="0" borderId="28" xfId="0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51" xfId="0" applyBorder="1"/>
    <xf numFmtId="2" fontId="0" fillId="0" borderId="30" xfId="0" applyNumberFormat="1" applyBorder="1"/>
    <xf numFmtId="0" fontId="0" fillId="0" borderId="29" xfId="0" applyBorder="1"/>
    <xf numFmtId="2" fontId="0" fillId="0" borderId="3" xfId="0" applyNumberFormat="1" applyBorder="1"/>
    <xf numFmtId="2" fontId="0" fillId="0" borderId="6" xfId="0" applyNumberFormat="1" applyBorder="1"/>
    <xf numFmtId="0" fontId="0" fillId="0" borderId="23" xfId="0" applyBorder="1"/>
    <xf numFmtId="2" fontId="0" fillId="0" borderId="24" xfId="0" applyNumberFormat="1" applyBorder="1"/>
    <xf numFmtId="1" fontId="0" fillId="0" borderId="26" xfId="0" applyNumberFormat="1" applyBorder="1" applyAlignment="1">
      <alignment horizontal="right"/>
    </xf>
    <xf numFmtId="164" fontId="0" fillId="0" borderId="32" xfId="0" applyNumberFormat="1" applyBorder="1" applyAlignment="1">
      <alignment horizontal="right"/>
    </xf>
    <xf numFmtId="0" fontId="0" fillId="0" borderId="32" xfId="0" applyBorder="1" applyAlignment="1">
      <alignment horizontal="right"/>
    </xf>
    <xf numFmtId="0" fontId="0" fillId="0" borderId="33" xfId="0" applyBorder="1" applyAlignment="1">
      <alignment horizontal="right"/>
    </xf>
    <xf numFmtId="164" fontId="0" fillId="0" borderId="26" xfId="0" applyNumberFormat="1" applyBorder="1" applyAlignment="1">
      <alignment horizontal="right"/>
    </xf>
    <xf numFmtId="0" fontId="0" fillId="0" borderId="26" xfId="0" applyBorder="1" applyAlignment="1">
      <alignment horizontal="right"/>
    </xf>
    <xf numFmtId="0" fontId="0" fillId="0" borderId="27" xfId="0" applyBorder="1" applyAlignment="1">
      <alignment horizontal="right"/>
    </xf>
    <xf numFmtId="0" fontId="0" fillId="0" borderId="27" xfId="0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4" xfId="0" applyNumberFormat="1" applyBorder="1" applyAlignment="1">
      <alignment horizontal="right"/>
    </xf>
    <xf numFmtId="0" fontId="1" fillId="2" borderId="1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 vertical="center" textRotation="90" wrapText="1"/>
    </xf>
    <xf numFmtId="0" fontId="1" fillId="2" borderId="4" xfId="0" applyFont="1" applyFill="1" applyBorder="1" applyAlignment="1">
      <alignment horizontal="center" vertical="center" textRotation="90" wrapText="1"/>
    </xf>
    <xf numFmtId="0" fontId="1" fillId="2" borderId="11" xfId="0" applyFont="1" applyFill="1" applyBorder="1" applyAlignment="1">
      <alignment horizontal="center" vertical="center" textRotation="90" wrapText="1"/>
    </xf>
    <xf numFmtId="0" fontId="1" fillId="2" borderId="12" xfId="0" applyFont="1" applyFill="1" applyBorder="1" applyAlignment="1">
      <alignment horizontal="center" vertical="center" textRotation="90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textRotation="90" wrapText="1"/>
    </xf>
    <xf numFmtId="0" fontId="1" fillId="2" borderId="6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textRotation="90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textRotation="90" wrapText="1"/>
    </xf>
    <xf numFmtId="0" fontId="0" fillId="2" borderId="12" xfId="0" applyFill="1" applyBorder="1" applyAlignment="1">
      <alignment horizontal="center" vertical="center" textRotation="90" wrapText="1"/>
    </xf>
    <xf numFmtId="0" fontId="0" fillId="2" borderId="13" xfId="0" applyFill="1" applyBorder="1" applyAlignment="1">
      <alignment horizontal="center" vertical="center" textRotation="90" wrapText="1"/>
    </xf>
    <xf numFmtId="0" fontId="0" fillId="2" borderId="4" xfId="0" applyFill="1" applyBorder="1" applyAlignment="1">
      <alignment horizontal="center" vertical="center" textRotation="90" wrapText="1"/>
    </xf>
    <xf numFmtId="0" fontId="0" fillId="2" borderId="18" xfId="0" applyFill="1" applyBorder="1" applyAlignment="1">
      <alignment horizontal="center" vertical="center" textRotation="90" wrapText="1"/>
    </xf>
    <xf numFmtId="0" fontId="0" fillId="2" borderId="6" xfId="0" applyFill="1" applyBorder="1" applyAlignment="1">
      <alignment horizontal="center" vertical="center" textRotation="90" wrapText="1"/>
    </xf>
    <xf numFmtId="0" fontId="5" fillId="0" borderId="2" xfId="0" applyFont="1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4" xfId="0" applyFill="1" applyBorder="1" applyAlignment="1">
      <alignment horizontal="right"/>
    </xf>
    <xf numFmtId="0" fontId="0" fillId="0" borderId="2" xfId="0" applyFill="1" applyBorder="1" applyAlignment="1">
      <alignment horizontal="right"/>
    </xf>
    <xf numFmtId="0" fontId="0" fillId="0" borderId="4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42" xfId="0" applyFill="1" applyBorder="1" applyAlignment="1">
      <alignment horizontal="center"/>
    </xf>
    <xf numFmtId="0" fontId="0" fillId="0" borderId="45" xfId="0" applyFill="1" applyBorder="1" applyAlignment="1">
      <alignment horizontal="center"/>
    </xf>
    <xf numFmtId="0" fontId="0" fillId="0" borderId="53" xfId="0" applyFill="1" applyBorder="1" applyAlignment="1">
      <alignment horizontal="center"/>
    </xf>
    <xf numFmtId="0" fontId="0" fillId="0" borderId="21" xfId="0" applyFill="1" applyBorder="1"/>
    <xf numFmtId="0" fontId="0" fillId="0" borderId="28" xfId="0" applyFill="1" applyBorder="1"/>
    <xf numFmtId="2" fontId="0" fillId="0" borderId="28" xfId="0" applyNumberFormat="1" applyFill="1" applyBorder="1" applyAlignment="1">
      <alignment horizontal="center"/>
    </xf>
    <xf numFmtId="0" fontId="0" fillId="0" borderId="29" xfId="0" applyFill="1" applyBorder="1"/>
    <xf numFmtId="2" fontId="0" fillId="0" borderId="30" xfId="0" applyNumberFormat="1" applyFill="1" applyBorder="1"/>
    <xf numFmtId="0" fontId="0" fillId="0" borderId="31" xfId="0" applyFill="1" applyBorder="1" applyAlignment="1">
      <alignment horizontal="center"/>
    </xf>
    <xf numFmtId="164" fontId="0" fillId="0" borderId="32" xfId="0" applyNumberFormat="1" applyFill="1" applyBorder="1" applyAlignment="1">
      <alignment horizontal="right"/>
    </xf>
    <xf numFmtId="0" fontId="0" fillId="0" borderId="32" xfId="0" applyFill="1" applyBorder="1" applyAlignment="1">
      <alignment horizontal="right"/>
    </xf>
    <xf numFmtId="1" fontId="0" fillId="0" borderId="26" xfId="0" applyNumberFormat="1" applyFill="1" applyBorder="1" applyAlignment="1">
      <alignment horizontal="right"/>
    </xf>
    <xf numFmtId="0" fontId="0" fillId="0" borderId="33" xfId="0" applyFill="1" applyBorder="1" applyAlignment="1">
      <alignment horizontal="right"/>
    </xf>
    <xf numFmtId="0" fontId="0" fillId="0" borderId="33" xfId="0" applyFill="1" applyBorder="1" applyAlignment="1">
      <alignment horizontal="center"/>
    </xf>
    <xf numFmtId="0" fontId="0" fillId="0" borderId="0" xfId="0" applyFill="1"/>
    <xf numFmtId="0" fontId="5" fillId="0" borderId="44" xfId="0" applyFont="1" applyFill="1" applyBorder="1" applyAlignment="1">
      <alignment horizontal="center"/>
    </xf>
    <xf numFmtId="0" fontId="0" fillId="0" borderId="46" xfId="0" applyFill="1" applyBorder="1" applyAlignment="1">
      <alignment horizontal="center"/>
    </xf>
    <xf numFmtId="0" fontId="0" fillId="0" borderId="2" xfId="0" applyFill="1" applyBorder="1"/>
    <xf numFmtId="0" fontId="0" fillId="0" borderId="31" xfId="0" applyFill="1" applyBorder="1"/>
    <xf numFmtId="0" fontId="0" fillId="0" borderId="32" xfId="0" applyFill="1" applyBorder="1" applyAlignment="1">
      <alignment horizontal="center"/>
    </xf>
    <xf numFmtId="2" fontId="5" fillId="0" borderId="28" xfId="0" applyNumberFormat="1" applyFont="1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0" fillId="0" borderId="50" xfId="0" applyFill="1" applyBorder="1"/>
    <xf numFmtId="2" fontId="0" fillId="0" borderId="50" xfId="0" applyNumberFormat="1" applyFill="1" applyBorder="1" applyAlignment="1">
      <alignment horizontal="center"/>
    </xf>
    <xf numFmtId="0" fontId="0" fillId="0" borderId="51" xfId="0" applyFill="1" applyBorder="1"/>
    <xf numFmtId="0" fontId="0" fillId="0" borderId="52" xfId="0" applyFill="1" applyBorder="1" applyAlignment="1">
      <alignment horizontal="center"/>
    </xf>
    <xf numFmtId="0" fontId="0" fillId="0" borderId="5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76CBC-0AB6-4FBA-AFB8-7AE167BDC570}">
  <sheetPr>
    <pageSetUpPr fitToPage="1"/>
  </sheetPr>
  <dimension ref="B6:AH35"/>
  <sheetViews>
    <sheetView tabSelected="1" view="pageBreakPreview" topLeftCell="A7" zoomScale="80" zoomScaleNormal="100" zoomScaleSheetLayoutView="80" workbookViewId="0">
      <pane xSplit="1" ySplit="3" topLeftCell="B10" activePane="bottomRight" state="frozen"/>
      <selection pane="topRight" activeCell="B7" sqref="B7"/>
      <selection pane="bottomLeft" activeCell="A10" sqref="A10"/>
      <selection pane="bottomRight" activeCell="N22" sqref="N22"/>
    </sheetView>
  </sheetViews>
  <sheetFormatPr defaultRowHeight="14.4" x14ac:dyDescent="0.3"/>
  <cols>
    <col min="1" max="1" width="1.88671875" customWidth="1"/>
    <col min="2" max="2" width="20.0000002" customWidth="1"/>
    <col min="3" max="3" width="19.33203125" customWidth="1"/>
    <col min="4" max="4" width="6.44140625" customWidth="1"/>
    <col min="5" max="5" width="6.6640625" customWidth="1"/>
    <col min="6" max="6" width="7.109375" customWidth="1"/>
    <col min="7" max="8" width="3.5546875" hidden="1" customWidth="1"/>
    <col min="9" max="9" width="7.88671875" customWidth="1"/>
    <col min="11" max="11" width="8" bestFit="1" customWidth="1"/>
    <col min="13" max="13" width="21" hidden="1" customWidth="1"/>
    <col min="17" max="17" width="26.33203125" customWidth="1"/>
    <col min="18" max="18" width="1.6640625" customWidth="1"/>
    <col min="19" max="19" width="5" customWidth="1"/>
    <col min="20" max="20" width="4.88671875" customWidth="1"/>
    <col min="21" max="21" width="5.33203125" customWidth="1"/>
    <col min="22" max="22" width="5.44140625" customWidth="1"/>
    <col min="23" max="23" width="5.5546875" customWidth="1"/>
    <col min="24" max="24" width="5" customWidth="1"/>
    <col min="25" max="25" width="6.6640625" hidden="1" customWidth="1"/>
    <col min="26" max="26" width="1.44140625" customWidth="1"/>
    <col min="27" max="27" width="5.5546875" customWidth="1"/>
    <col min="28" max="28" width="9.6640625" customWidth="1"/>
    <col min="29" max="29" width="5.44140625" customWidth="1"/>
    <col min="30" max="30" width="6" customWidth="1"/>
    <col min="31" max="31" width="5.33203125" customWidth="1"/>
    <col min="32" max="32" width="6.109375" customWidth="1"/>
    <col min="33" max="33" width="7.33203125" customWidth="1"/>
  </cols>
  <sheetData>
    <row r="6" spans="2:34" ht="15" thickBot="1" x14ac:dyDescent="0.35"/>
    <row r="7" spans="2:34" x14ac:dyDescent="0.3">
      <c r="B7" s="93" t="s">
        <v>0</v>
      </c>
      <c r="C7" s="94"/>
      <c r="D7" s="94"/>
      <c r="E7" s="94"/>
      <c r="F7" s="94"/>
      <c r="G7" s="94"/>
      <c r="H7" s="94"/>
      <c r="I7" s="95"/>
      <c r="J7" s="93" t="s">
        <v>14</v>
      </c>
      <c r="K7" s="94"/>
      <c r="L7" s="94"/>
      <c r="M7" s="94"/>
      <c r="N7" s="94"/>
      <c r="O7" s="94"/>
      <c r="P7" s="95"/>
      <c r="Q7" s="24" t="s">
        <v>15</v>
      </c>
      <c r="S7" s="93" t="s">
        <v>16</v>
      </c>
      <c r="T7" s="94"/>
      <c r="U7" s="94"/>
      <c r="V7" s="94"/>
      <c r="W7" s="94"/>
      <c r="X7" s="94"/>
      <c r="Y7" s="95"/>
      <c r="AA7" s="93" t="s">
        <v>25</v>
      </c>
      <c r="AB7" s="94"/>
      <c r="AC7" s="94"/>
      <c r="AD7" s="94"/>
      <c r="AE7" s="94"/>
      <c r="AF7" s="94"/>
      <c r="AG7" s="95"/>
    </row>
    <row r="8" spans="2:34" x14ac:dyDescent="0.3">
      <c r="B8" s="96" t="s">
        <v>2</v>
      </c>
      <c r="C8" s="98" t="s">
        <v>3</v>
      </c>
      <c r="D8" s="100" t="s">
        <v>1</v>
      </c>
      <c r="E8" s="101"/>
      <c r="F8" s="101"/>
      <c r="G8" s="101"/>
      <c r="H8" s="101"/>
      <c r="I8" s="102"/>
      <c r="J8" s="105" t="s">
        <v>38</v>
      </c>
      <c r="K8" s="107" t="s">
        <v>39</v>
      </c>
      <c r="L8" s="107" t="s">
        <v>40</v>
      </c>
      <c r="M8" s="103" t="s">
        <v>10</v>
      </c>
      <c r="N8" s="107" t="s">
        <v>41</v>
      </c>
      <c r="O8" s="107" t="s">
        <v>42</v>
      </c>
      <c r="P8" s="109" t="s">
        <v>43</v>
      </c>
      <c r="Q8" s="114" t="s">
        <v>11</v>
      </c>
      <c r="S8" s="105" t="s">
        <v>17</v>
      </c>
      <c r="T8" s="103" t="s">
        <v>18</v>
      </c>
      <c r="U8" s="103" t="s">
        <v>19</v>
      </c>
      <c r="V8" s="103" t="s">
        <v>20</v>
      </c>
      <c r="W8" s="103" t="s">
        <v>21</v>
      </c>
      <c r="X8" s="111" t="s">
        <v>22</v>
      </c>
      <c r="Y8" s="113" t="s">
        <v>23</v>
      </c>
      <c r="AA8" s="116" t="s">
        <v>26</v>
      </c>
      <c r="AB8" s="118" t="s">
        <v>37</v>
      </c>
      <c r="AC8" s="118" t="s">
        <v>32</v>
      </c>
      <c r="AD8" s="118" t="s">
        <v>27</v>
      </c>
      <c r="AE8" s="118" t="s">
        <v>28</v>
      </c>
      <c r="AF8" s="118" t="s">
        <v>29</v>
      </c>
      <c r="AG8" s="120" t="s">
        <v>30</v>
      </c>
    </row>
    <row r="9" spans="2:34" ht="98.25" customHeight="1" x14ac:dyDescent="0.3">
      <c r="B9" s="97"/>
      <c r="C9" s="99"/>
      <c r="D9" s="12" t="s">
        <v>4</v>
      </c>
      <c r="E9" s="13" t="s">
        <v>5</v>
      </c>
      <c r="F9" s="13" t="s">
        <v>6</v>
      </c>
      <c r="G9" s="13" t="s">
        <v>7</v>
      </c>
      <c r="H9" s="42" t="s">
        <v>8</v>
      </c>
      <c r="I9" s="17" t="s">
        <v>9</v>
      </c>
      <c r="J9" s="106"/>
      <c r="K9" s="108"/>
      <c r="L9" s="108"/>
      <c r="M9" s="104"/>
      <c r="N9" s="108"/>
      <c r="O9" s="108"/>
      <c r="P9" s="110"/>
      <c r="Q9" s="115"/>
      <c r="R9" s="25"/>
      <c r="S9" s="106"/>
      <c r="T9" s="104"/>
      <c r="U9" s="104"/>
      <c r="V9" s="104"/>
      <c r="W9" s="104"/>
      <c r="X9" s="112"/>
      <c r="Y9" s="113"/>
      <c r="AA9" s="117"/>
      <c r="AB9" s="119"/>
      <c r="AC9" s="119"/>
      <c r="AD9" s="119"/>
      <c r="AE9" s="119"/>
      <c r="AF9" s="119"/>
      <c r="AG9" s="121"/>
    </row>
    <row r="10" spans="2:34" x14ac:dyDescent="0.3">
      <c r="B10" s="1"/>
      <c r="C10" s="6"/>
      <c r="D10" s="6"/>
      <c r="E10" s="6"/>
      <c r="F10" s="6"/>
      <c r="G10" s="6"/>
      <c r="I10" s="18"/>
      <c r="J10" s="9"/>
      <c r="K10" s="3"/>
      <c r="L10" s="3"/>
      <c r="M10" s="3"/>
      <c r="N10" s="3"/>
      <c r="O10" s="3"/>
      <c r="P10" s="2"/>
      <c r="Q10" s="2"/>
      <c r="R10" s="25"/>
      <c r="S10" s="9"/>
      <c r="T10" s="3"/>
      <c r="U10" s="3"/>
      <c r="V10" s="3"/>
      <c r="W10" s="3"/>
      <c r="X10" s="18"/>
      <c r="Y10" s="2"/>
      <c r="AA10" s="9"/>
      <c r="AB10" s="3"/>
      <c r="AC10" s="3"/>
      <c r="AD10" s="3"/>
      <c r="AE10" s="3"/>
      <c r="AF10" s="3"/>
      <c r="AG10" s="2"/>
    </row>
    <row r="11" spans="2:34" x14ac:dyDescent="0.3">
      <c r="B11" s="22" t="s">
        <v>45</v>
      </c>
      <c r="C11" s="7"/>
      <c r="D11" s="7"/>
      <c r="E11" s="7"/>
      <c r="F11" s="7"/>
      <c r="G11" s="7"/>
      <c r="H11" s="4"/>
      <c r="I11" s="19"/>
      <c r="J11" s="10"/>
      <c r="K11" s="11"/>
      <c r="L11" s="11"/>
      <c r="M11" s="11"/>
      <c r="N11" s="11"/>
      <c r="O11" s="11"/>
      <c r="P11" s="5"/>
      <c r="Q11" s="5"/>
      <c r="S11" s="14"/>
      <c r="T11" s="11"/>
      <c r="U11" s="11"/>
      <c r="V11" s="11"/>
      <c r="W11" s="11"/>
      <c r="X11" s="19"/>
      <c r="Y11" s="5"/>
      <c r="AA11" s="14"/>
      <c r="AB11" s="11"/>
      <c r="AC11" s="11"/>
      <c r="AD11" s="11"/>
      <c r="AE11" s="11"/>
      <c r="AF11" s="11"/>
      <c r="AG11" s="16"/>
    </row>
    <row r="12" spans="2:34" x14ac:dyDescent="0.3">
      <c r="B12" s="1" t="s">
        <v>74</v>
      </c>
      <c r="C12" s="6" t="s">
        <v>44</v>
      </c>
      <c r="D12" s="6">
        <v>1</v>
      </c>
      <c r="E12" s="70">
        <v>200</v>
      </c>
      <c r="F12" s="70">
        <v>400</v>
      </c>
      <c r="G12" s="6"/>
      <c r="I12" s="71">
        <f>E12+SUM(G12:H12)</f>
        <v>200</v>
      </c>
      <c r="J12" s="91" t="s">
        <v>12</v>
      </c>
      <c r="K12" s="92">
        <f>E12*1000/(SQRT(3)*F12)</f>
        <v>288.6751345948129</v>
      </c>
      <c r="L12" s="124">
        <v>315</v>
      </c>
      <c r="M12" s="50"/>
      <c r="N12" s="124">
        <v>347.2</v>
      </c>
      <c r="O12" s="124">
        <f>1.6*L12</f>
        <v>504</v>
      </c>
      <c r="P12" s="125">
        <f>1.45*N12</f>
        <v>503.43999999999994</v>
      </c>
      <c r="Q12" s="122" t="s">
        <v>82</v>
      </c>
      <c r="S12" s="123">
        <v>25</v>
      </c>
      <c r="T12" s="126">
        <v>0.49</v>
      </c>
      <c r="U12" s="126" t="s">
        <v>24</v>
      </c>
      <c r="V12" s="126">
        <f>T12</f>
        <v>0.49</v>
      </c>
      <c r="W12" s="126">
        <f>(0.0225*S12)/185</f>
        <v>3.0405405405405407E-3</v>
      </c>
      <c r="X12" s="127">
        <v>10</v>
      </c>
      <c r="Y12" s="51"/>
      <c r="Z12" s="20"/>
      <c r="AA12" s="9" t="s">
        <v>49</v>
      </c>
      <c r="AB12" s="60" t="s">
        <v>50</v>
      </c>
      <c r="AC12" s="60">
        <v>3</v>
      </c>
      <c r="AD12" s="60" t="s">
        <v>33</v>
      </c>
      <c r="AE12" s="60" t="s">
        <v>34</v>
      </c>
      <c r="AF12" s="60" t="s">
        <v>13</v>
      </c>
      <c r="AG12" s="89" t="s">
        <v>35</v>
      </c>
    </row>
    <row r="13" spans="2:34" s="4" customFormat="1" x14ac:dyDescent="0.3">
      <c r="B13" s="23" t="s">
        <v>36</v>
      </c>
      <c r="C13" s="7"/>
      <c r="D13" s="7"/>
      <c r="E13" s="8"/>
      <c r="F13" s="8"/>
      <c r="G13" s="7"/>
      <c r="I13" s="21"/>
      <c r="J13" s="14"/>
      <c r="K13" s="45"/>
      <c r="L13" s="45"/>
      <c r="M13" s="45"/>
      <c r="N13" s="45"/>
      <c r="O13" s="45"/>
      <c r="P13" s="46"/>
      <c r="Q13" s="16"/>
      <c r="R13"/>
      <c r="S13" s="14"/>
      <c r="T13" s="11"/>
      <c r="U13" s="11"/>
      <c r="V13" s="11"/>
      <c r="W13" s="11"/>
      <c r="X13" s="19"/>
      <c r="Y13" s="5"/>
      <c r="Z13"/>
      <c r="AA13" s="10"/>
      <c r="AB13" s="15"/>
      <c r="AC13" s="15"/>
      <c r="AD13" s="15"/>
      <c r="AE13" s="15"/>
      <c r="AF13" s="15"/>
      <c r="AG13" s="16"/>
    </row>
    <row r="14" spans="2:34" x14ac:dyDescent="0.3">
      <c r="B14" s="27" t="s">
        <v>44</v>
      </c>
      <c r="C14" s="26" t="s">
        <v>56</v>
      </c>
      <c r="D14" s="26">
        <v>1</v>
      </c>
      <c r="E14" s="62">
        <v>15</v>
      </c>
      <c r="F14" s="62">
        <v>400</v>
      </c>
      <c r="G14" s="26"/>
      <c r="H14" s="72"/>
      <c r="I14" s="73">
        <f t="shared" ref="I14:I15" si="0">E14+SUM(G14:H14)</f>
        <v>15</v>
      </c>
      <c r="J14" s="65" t="s">
        <v>13</v>
      </c>
      <c r="K14" s="78">
        <f t="shared" ref="K14" si="1">E14*1000/(SQRT(3)*F14)</f>
        <v>21.650635094610966</v>
      </c>
      <c r="L14" s="79">
        <v>32</v>
      </c>
      <c r="M14" s="79"/>
      <c r="N14" s="79">
        <v>75</v>
      </c>
      <c r="O14" s="74">
        <f>1.45*L14</f>
        <v>46.4</v>
      </c>
      <c r="P14" s="80">
        <f>1.45*N14</f>
        <v>108.75</v>
      </c>
      <c r="Q14" s="81" t="s">
        <v>54</v>
      </c>
      <c r="S14" s="82">
        <v>52</v>
      </c>
      <c r="T14" s="83">
        <v>1.1000000000000001</v>
      </c>
      <c r="U14" s="128">
        <f>V12</f>
        <v>0.49</v>
      </c>
      <c r="V14" s="128">
        <f>T14+U14</f>
        <v>1.59</v>
      </c>
      <c r="W14" s="83">
        <f>(0.0225*S14)/10</f>
        <v>0.11699999999999999</v>
      </c>
      <c r="X14" s="84">
        <v>3</v>
      </c>
      <c r="Y14" s="52"/>
      <c r="AA14" s="56" t="s">
        <v>31</v>
      </c>
      <c r="AB14" s="57" t="s">
        <v>51</v>
      </c>
      <c r="AC14" s="57">
        <v>3</v>
      </c>
      <c r="AD14" s="57" t="s">
        <v>33</v>
      </c>
      <c r="AE14" s="57" t="s">
        <v>34</v>
      </c>
      <c r="AF14" s="59" t="s">
        <v>81</v>
      </c>
      <c r="AG14" s="81" t="s">
        <v>52</v>
      </c>
      <c r="AH14" s="90" t="s">
        <v>78</v>
      </c>
    </row>
    <row r="15" spans="2:34" x14ac:dyDescent="0.3">
      <c r="B15" s="27" t="s">
        <v>44</v>
      </c>
      <c r="C15" s="28" t="s">
        <v>57</v>
      </c>
      <c r="D15" s="28">
        <v>1</v>
      </c>
      <c r="E15" s="63">
        <v>8</v>
      </c>
      <c r="F15" s="63">
        <v>400</v>
      </c>
      <c r="G15" s="28"/>
      <c r="H15" s="69"/>
      <c r="I15" s="68">
        <f t="shared" si="0"/>
        <v>8</v>
      </c>
      <c r="J15" s="66" t="s">
        <v>13</v>
      </c>
      <c r="K15" s="75">
        <f t="shared" ref="K15:K26" si="2">E15*1000/(SQRT(3)*F15)</f>
        <v>11.547005383792516</v>
      </c>
      <c r="L15" s="76">
        <v>25</v>
      </c>
      <c r="M15" s="76"/>
      <c r="N15" s="76">
        <v>37</v>
      </c>
      <c r="O15" s="74">
        <f t="shared" ref="O15:O16" si="3">1.45*L15</f>
        <v>36.25</v>
      </c>
      <c r="P15" s="77">
        <f>1.45*N15</f>
        <v>53.65</v>
      </c>
      <c r="Q15" s="61" t="s">
        <v>55</v>
      </c>
      <c r="S15" s="53">
        <v>6</v>
      </c>
      <c r="T15" s="85">
        <v>0.2</v>
      </c>
      <c r="U15" s="128">
        <f>V12</f>
        <v>0.49</v>
      </c>
      <c r="V15" s="129">
        <f>T15+U15</f>
        <v>0.69</v>
      </c>
      <c r="W15" s="85">
        <f>(0.0225*S15)/16</f>
        <v>8.4375000000000006E-3</v>
      </c>
      <c r="X15" s="86">
        <v>6</v>
      </c>
      <c r="Y15" s="52"/>
      <c r="AA15" s="58" t="s">
        <v>31</v>
      </c>
      <c r="AB15" s="59" t="s">
        <v>51</v>
      </c>
      <c r="AC15" s="59">
        <v>3</v>
      </c>
      <c r="AD15" s="59" t="s">
        <v>33</v>
      </c>
      <c r="AE15" s="59" t="s">
        <v>34</v>
      </c>
      <c r="AF15" s="59" t="s">
        <v>47</v>
      </c>
      <c r="AG15" s="61" t="s">
        <v>76</v>
      </c>
      <c r="AH15" s="90" t="s">
        <v>77</v>
      </c>
    </row>
    <row r="16" spans="2:34" x14ac:dyDescent="0.3">
      <c r="B16" s="27" t="s">
        <v>44</v>
      </c>
      <c r="C16" s="28" t="s">
        <v>58</v>
      </c>
      <c r="D16" s="28">
        <v>1</v>
      </c>
      <c r="E16" s="63">
        <v>15</v>
      </c>
      <c r="F16" s="64">
        <v>400</v>
      </c>
      <c r="G16" s="28"/>
      <c r="H16" s="69"/>
      <c r="I16" s="68">
        <f t="shared" ref="I16" si="4">E16+SUM(G16:H16)</f>
        <v>15</v>
      </c>
      <c r="J16" s="66" t="s">
        <v>13</v>
      </c>
      <c r="K16" s="75">
        <f t="shared" si="2"/>
        <v>21.650635094610966</v>
      </c>
      <c r="L16" s="76">
        <v>32</v>
      </c>
      <c r="M16" s="76"/>
      <c r="N16" s="76">
        <v>75</v>
      </c>
      <c r="O16" s="74">
        <f t="shared" si="3"/>
        <v>46.4</v>
      </c>
      <c r="P16" s="77">
        <f t="shared" ref="P16" si="5">1.45*N16</f>
        <v>108.75</v>
      </c>
      <c r="Q16" s="61" t="s">
        <v>54</v>
      </c>
      <c r="S16" s="54">
        <v>64</v>
      </c>
      <c r="T16" s="85">
        <v>1.4</v>
      </c>
      <c r="U16" s="128">
        <f>V12</f>
        <v>0.49</v>
      </c>
      <c r="V16" s="129">
        <f t="shared" ref="V16:V31" si="6">T16+U16</f>
        <v>1.89</v>
      </c>
      <c r="W16" s="85">
        <f>(0.0225*S16)/6</f>
        <v>0.24</v>
      </c>
      <c r="X16" s="86">
        <v>3</v>
      </c>
      <c r="Y16" s="52"/>
      <c r="AA16" s="58" t="s">
        <v>31</v>
      </c>
      <c r="AB16" s="59" t="s">
        <v>51</v>
      </c>
      <c r="AC16" s="59">
        <v>3</v>
      </c>
      <c r="AD16" s="59" t="s">
        <v>33</v>
      </c>
      <c r="AE16" s="59" t="s">
        <v>34</v>
      </c>
      <c r="AF16" s="59" t="s">
        <v>81</v>
      </c>
      <c r="AG16" s="61" t="s">
        <v>52</v>
      </c>
    </row>
    <row r="17" spans="2:33" x14ac:dyDescent="0.3">
      <c r="B17" s="27" t="s">
        <v>44</v>
      </c>
      <c r="C17" s="28" t="s">
        <v>59</v>
      </c>
      <c r="D17" s="28">
        <v>1</v>
      </c>
      <c r="E17" s="63">
        <v>15</v>
      </c>
      <c r="F17" s="64">
        <v>400</v>
      </c>
      <c r="G17" s="47"/>
      <c r="H17" s="67"/>
      <c r="I17" s="68">
        <f>E17+SUM(G17:H17)</f>
        <v>15</v>
      </c>
      <c r="J17" s="66" t="s">
        <v>13</v>
      </c>
      <c r="K17" s="75">
        <f>E17*1000/(SQRT(3)*F17)</f>
        <v>21.650635094610966</v>
      </c>
      <c r="L17" s="76">
        <v>25</v>
      </c>
      <c r="M17" s="76"/>
      <c r="N17" s="76">
        <v>54</v>
      </c>
      <c r="O17" s="74">
        <f t="shared" ref="O17:O19" si="7">1.45*L17</f>
        <v>36.25</v>
      </c>
      <c r="P17" s="77">
        <f t="shared" ref="P17" si="8">1.45*N17</f>
        <v>78.3</v>
      </c>
      <c r="Q17" s="61" t="s">
        <v>53</v>
      </c>
      <c r="S17" s="55">
        <v>22</v>
      </c>
      <c r="T17" s="87">
        <v>0.8</v>
      </c>
      <c r="U17" s="128">
        <f>V12</f>
        <v>0.49</v>
      </c>
      <c r="V17" s="129">
        <f t="shared" si="6"/>
        <v>1.29</v>
      </c>
      <c r="W17" s="85">
        <f>(0.0225*S17)/4</f>
        <v>0.12375</v>
      </c>
      <c r="X17" s="88">
        <v>3</v>
      </c>
      <c r="Y17" s="52"/>
      <c r="AA17" s="58" t="s">
        <v>31</v>
      </c>
      <c r="AB17" s="59" t="s">
        <v>51</v>
      </c>
      <c r="AC17" s="59">
        <v>3</v>
      </c>
      <c r="AD17" s="59" t="s">
        <v>33</v>
      </c>
      <c r="AE17" s="59" t="s">
        <v>34</v>
      </c>
      <c r="AF17" s="59" t="s">
        <v>81</v>
      </c>
      <c r="AG17" s="61" t="s">
        <v>52</v>
      </c>
    </row>
    <row r="18" spans="2:33" x14ac:dyDescent="0.3">
      <c r="B18" s="27" t="s">
        <v>44</v>
      </c>
      <c r="C18" s="28" t="s">
        <v>60</v>
      </c>
      <c r="D18" s="28">
        <v>1</v>
      </c>
      <c r="E18" s="63">
        <v>10</v>
      </c>
      <c r="F18" s="63">
        <v>400</v>
      </c>
      <c r="G18" s="28"/>
      <c r="H18" s="69"/>
      <c r="I18" s="68">
        <f t="shared" ref="I18:I19" si="9">E18+SUM(G18:H18)</f>
        <v>10</v>
      </c>
      <c r="J18" s="66" t="s">
        <v>13</v>
      </c>
      <c r="K18" s="75">
        <f>E18*1000/(SQRT(3)*F18)</f>
        <v>14.433756729740644</v>
      </c>
      <c r="L18" s="76">
        <v>25</v>
      </c>
      <c r="M18" s="76"/>
      <c r="N18" s="76">
        <v>42</v>
      </c>
      <c r="O18" s="74">
        <f t="shared" si="7"/>
        <v>36.25</v>
      </c>
      <c r="P18" s="77">
        <f>1.45*N18</f>
        <v>60.9</v>
      </c>
      <c r="Q18" s="61" t="s">
        <v>55</v>
      </c>
      <c r="S18" s="53">
        <v>12</v>
      </c>
      <c r="T18" s="85">
        <v>0.4</v>
      </c>
      <c r="U18" s="128">
        <f>V12</f>
        <v>0.49</v>
      </c>
      <c r="V18" s="129">
        <f>T18+U18</f>
        <v>0.89</v>
      </c>
      <c r="W18" s="85">
        <f>(0.0225*S18)/16</f>
        <v>1.6875000000000001E-2</v>
      </c>
      <c r="X18" s="86">
        <v>3</v>
      </c>
      <c r="Y18" s="52"/>
      <c r="AA18" s="58" t="s">
        <v>31</v>
      </c>
      <c r="AB18" s="59" t="s">
        <v>51</v>
      </c>
      <c r="AC18" s="59">
        <v>3</v>
      </c>
      <c r="AD18" s="59" t="s">
        <v>33</v>
      </c>
      <c r="AE18" s="59" t="s">
        <v>34</v>
      </c>
      <c r="AF18" s="59" t="s">
        <v>81</v>
      </c>
      <c r="AG18" s="61" t="s">
        <v>52</v>
      </c>
    </row>
    <row r="19" spans="2:33" x14ac:dyDescent="0.3">
      <c r="B19" s="27" t="s">
        <v>44</v>
      </c>
      <c r="C19" s="28" t="s">
        <v>61</v>
      </c>
      <c r="D19" s="28">
        <v>1</v>
      </c>
      <c r="E19" s="63">
        <v>15</v>
      </c>
      <c r="F19" s="64">
        <v>400</v>
      </c>
      <c r="G19" s="28"/>
      <c r="H19" s="69"/>
      <c r="I19" s="68">
        <f t="shared" si="9"/>
        <v>15</v>
      </c>
      <c r="J19" s="66" t="s">
        <v>13</v>
      </c>
      <c r="K19" s="75">
        <f t="shared" si="2"/>
        <v>21.650635094610966</v>
      </c>
      <c r="L19" s="76">
        <v>25</v>
      </c>
      <c r="M19" s="76"/>
      <c r="N19" s="76">
        <v>54</v>
      </c>
      <c r="O19" s="74">
        <f t="shared" si="7"/>
        <v>36.25</v>
      </c>
      <c r="P19" s="77">
        <f t="shared" ref="P19:P21" si="10">1.45*N19</f>
        <v>78.3</v>
      </c>
      <c r="Q19" s="61" t="s">
        <v>53</v>
      </c>
      <c r="S19" s="54">
        <v>20</v>
      </c>
      <c r="T19" s="85">
        <v>0.7</v>
      </c>
      <c r="U19" s="128">
        <f>V12</f>
        <v>0.49</v>
      </c>
      <c r="V19" s="129">
        <f t="shared" ref="V19:V21" si="11">T19+U19</f>
        <v>1.19</v>
      </c>
      <c r="W19" s="85">
        <f>(0.0225*S19)/6</f>
        <v>7.4999999999999997E-2</v>
      </c>
      <c r="X19" s="86">
        <v>3</v>
      </c>
      <c r="Y19" s="52"/>
      <c r="AA19" s="58" t="s">
        <v>31</v>
      </c>
      <c r="AB19" s="59" t="s">
        <v>51</v>
      </c>
      <c r="AC19" s="59">
        <v>3</v>
      </c>
      <c r="AD19" s="59" t="s">
        <v>33</v>
      </c>
      <c r="AE19" s="59" t="s">
        <v>34</v>
      </c>
      <c r="AF19" s="59" t="s">
        <v>81</v>
      </c>
      <c r="AG19" s="61" t="s">
        <v>52</v>
      </c>
    </row>
    <row r="20" spans="2:33" x14ac:dyDescent="0.3">
      <c r="B20" s="27" t="s">
        <v>44</v>
      </c>
      <c r="C20" s="28" t="s">
        <v>62</v>
      </c>
      <c r="D20" s="28">
        <v>1</v>
      </c>
      <c r="E20" s="63">
        <v>15</v>
      </c>
      <c r="F20" s="64">
        <v>400</v>
      </c>
      <c r="G20" s="47"/>
      <c r="H20" s="67"/>
      <c r="I20" s="68">
        <f>E20+SUM(G20:H20)</f>
        <v>15</v>
      </c>
      <c r="J20" s="66" t="s">
        <v>13</v>
      </c>
      <c r="K20" s="75">
        <f t="shared" si="2"/>
        <v>21.650635094610966</v>
      </c>
      <c r="L20" s="76">
        <v>32</v>
      </c>
      <c r="M20" s="76"/>
      <c r="N20" s="76">
        <v>75</v>
      </c>
      <c r="O20" s="74">
        <f t="shared" ref="O20:O23" si="12">1.45*L20</f>
        <v>46.4</v>
      </c>
      <c r="P20" s="77">
        <f t="shared" si="10"/>
        <v>108.75</v>
      </c>
      <c r="Q20" s="61" t="s">
        <v>54</v>
      </c>
      <c r="S20" s="55">
        <v>63</v>
      </c>
      <c r="T20" s="87">
        <v>1.3</v>
      </c>
      <c r="U20" s="128">
        <f>V12</f>
        <v>0.49</v>
      </c>
      <c r="V20" s="129">
        <f t="shared" si="11"/>
        <v>1.79</v>
      </c>
      <c r="W20" s="85">
        <f>(0.0225*S20)/4</f>
        <v>0.354375</v>
      </c>
      <c r="X20" s="88">
        <v>3</v>
      </c>
      <c r="Y20" s="52"/>
      <c r="AA20" s="58" t="s">
        <v>31</v>
      </c>
      <c r="AB20" s="59" t="s">
        <v>51</v>
      </c>
      <c r="AC20" s="59">
        <v>3</v>
      </c>
      <c r="AD20" s="59" t="s">
        <v>33</v>
      </c>
      <c r="AE20" s="59" t="s">
        <v>34</v>
      </c>
      <c r="AF20" s="59" t="s">
        <v>81</v>
      </c>
      <c r="AG20" s="61" t="s">
        <v>52</v>
      </c>
    </row>
    <row r="21" spans="2:33" x14ac:dyDescent="0.3">
      <c r="B21" s="27" t="s">
        <v>62</v>
      </c>
      <c r="C21" s="28" t="s">
        <v>63</v>
      </c>
      <c r="D21" s="28">
        <v>1</v>
      </c>
      <c r="E21" s="63">
        <v>10</v>
      </c>
      <c r="F21" s="64">
        <v>400</v>
      </c>
      <c r="G21" s="47"/>
      <c r="H21" s="67"/>
      <c r="I21" s="68">
        <f>E21+SUM(G21:H21)</f>
        <v>10</v>
      </c>
      <c r="J21" s="66" t="s">
        <v>13</v>
      </c>
      <c r="K21" s="75">
        <f t="shared" si="2"/>
        <v>14.433756729740644</v>
      </c>
      <c r="L21" s="76">
        <v>25</v>
      </c>
      <c r="M21" s="76"/>
      <c r="N21" s="76">
        <v>42</v>
      </c>
      <c r="O21" s="74">
        <f t="shared" si="12"/>
        <v>36.25</v>
      </c>
      <c r="P21" s="77">
        <f t="shared" si="10"/>
        <v>60.9</v>
      </c>
      <c r="Q21" s="61" t="s">
        <v>55</v>
      </c>
      <c r="S21" s="55">
        <v>6</v>
      </c>
      <c r="T21" s="87">
        <v>0.2</v>
      </c>
      <c r="U21" s="130">
        <f>V20</f>
        <v>1.79</v>
      </c>
      <c r="V21" s="129">
        <f t="shared" si="11"/>
        <v>1.99</v>
      </c>
      <c r="W21" s="85">
        <f>(0.0225*S21)/4</f>
        <v>3.3750000000000002E-2</v>
      </c>
      <c r="X21" s="88">
        <v>6</v>
      </c>
      <c r="Y21" s="52"/>
      <c r="AA21" s="58" t="s">
        <v>31</v>
      </c>
      <c r="AB21" s="59" t="s">
        <v>51</v>
      </c>
      <c r="AC21" s="59">
        <v>3</v>
      </c>
      <c r="AD21" s="59" t="s">
        <v>33</v>
      </c>
      <c r="AE21" s="59" t="s">
        <v>34</v>
      </c>
      <c r="AF21" s="59" t="s">
        <v>81</v>
      </c>
      <c r="AG21" s="61" t="s">
        <v>52</v>
      </c>
    </row>
    <row r="22" spans="2:33" s="142" customFormat="1" x14ac:dyDescent="0.3">
      <c r="B22" s="131" t="s">
        <v>44</v>
      </c>
      <c r="C22" s="132" t="s">
        <v>64</v>
      </c>
      <c r="D22" s="132">
        <v>1</v>
      </c>
      <c r="E22" s="133">
        <v>45</v>
      </c>
      <c r="F22" s="133">
        <v>400</v>
      </c>
      <c r="G22" s="132"/>
      <c r="H22" s="134"/>
      <c r="I22" s="135">
        <f t="shared" ref="I22:I23" si="13">E22+SUM(G22:H22)</f>
        <v>45</v>
      </c>
      <c r="J22" s="136" t="s">
        <v>13</v>
      </c>
      <c r="K22" s="137">
        <f>E22*1000/(SQRT(3)*F22)</f>
        <v>64.9519052838329</v>
      </c>
      <c r="L22" s="138">
        <v>80</v>
      </c>
      <c r="M22" s="138"/>
      <c r="N22" s="138">
        <v>148</v>
      </c>
      <c r="O22" s="139">
        <f t="shared" si="12"/>
        <v>116</v>
      </c>
      <c r="P22" s="140">
        <f>1.45*N22</f>
        <v>214.6</v>
      </c>
      <c r="Q22" s="141" t="s">
        <v>75</v>
      </c>
      <c r="S22" s="143">
        <v>62</v>
      </c>
      <c r="T22" s="129">
        <v>1.1000000000000001</v>
      </c>
      <c r="U22" s="129">
        <f>V12</f>
        <v>0.49</v>
      </c>
      <c r="V22" s="129">
        <f>T22+U22</f>
        <v>1.59</v>
      </c>
      <c r="W22" s="129">
        <f>(0.0225*S22)/16</f>
        <v>8.7187500000000001E-2</v>
      </c>
      <c r="X22" s="144">
        <v>6</v>
      </c>
      <c r="Y22" s="145"/>
      <c r="AA22" s="146" t="s">
        <v>31</v>
      </c>
      <c r="AB22" s="147" t="s">
        <v>51</v>
      </c>
      <c r="AC22" s="147">
        <v>3</v>
      </c>
      <c r="AD22" s="147" t="s">
        <v>33</v>
      </c>
      <c r="AE22" s="147" t="s">
        <v>34</v>
      </c>
      <c r="AF22" s="147" t="s">
        <v>81</v>
      </c>
      <c r="AG22" s="141" t="s">
        <v>52</v>
      </c>
    </row>
    <row r="23" spans="2:33" s="142" customFormat="1" x14ac:dyDescent="0.3">
      <c r="B23" s="131" t="s">
        <v>44</v>
      </c>
      <c r="C23" s="132" t="s">
        <v>46</v>
      </c>
      <c r="D23" s="132">
        <v>1</v>
      </c>
      <c r="E23" s="133">
        <v>120</v>
      </c>
      <c r="F23" s="148">
        <v>400</v>
      </c>
      <c r="G23" s="132"/>
      <c r="H23" s="134"/>
      <c r="I23" s="135">
        <f t="shared" si="13"/>
        <v>120</v>
      </c>
      <c r="J23" s="136" t="s">
        <v>13</v>
      </c>
      <c r="K23" s="137">
        <f t="shared" si="2"/>
        <v>173.20508075688772</v>
      </c>
      <c r="L23" s="138">
        <v>200</v>
      </c>
      <c r="M23" s="138"/>
      <c r="N23" s="138">
        <v>246</v>
      </c>
      <c r="O23" s="139">
        <f t="shared" si="12"/>
        <v>290</v>
      </c>
      <c r="P23" s="140">
        <f t="shared" ref="P23:P24" si="14">1.45*N23</f>
        <v>356.7</v>
      </c>
      <c r="Q23" s="141" t="s">
        <v>79</v>
      </c>
      <c r="S23" s="149">
        <v>51</v>
      </c>
      <c r="T23" s="129">
        <v>1.2</v>
      </c>
      <c r="U23" s="129">
        <f>V12</f>
        <v>0.49</v>
      </c>
      <c r="V23" s="129">
        <f t="shared" ref="V23:V24" si="15">T23+U23</f>
        <v>1.69</v>
      </c>
      <c r="W23" s="129">
        <f>(0.0225*S23)/6</f>
        <v>0.19125</v>
      </c>
      <c r="X23" s="144">
        <v>10</v>
      </c>
      <c r="Y23" s="145"/>
      <c r="AA23" s="146" t="s">
        <v>31</v>
      </c>
      <c r="AB23" s="147" t="s">
        <v>51</v>
      </c>
      <c r="AC23" s="147">
        <v>3</v>
      </c>
      <c r="AD23" s="147" t="s">
        <v>33</v>
      </c>
      <c r="AE23" s="147" t="s">
        <v>34</v>
      </c>
      <c r="AF23" s="147" t="s">
        <v>81</v>
      </c>
      <c r="AG23" s="141" t="s">
        <v>52</v>
      </c>
    </row>
    <row r="24" spans="2:33" x14ac:dyDescent="0.3">
      <c r="B24" s="131" t="s">
        <v>48</v>
      </c>
      <c r="C24" s="28" t="s">
        <v>56</v>
      </c>
      <c r="D24" s="28">
        <v>1</v>
      </c>
      <c r="E24" s="63">
        <v>20</v>
      </c>
      <c r="F24" s="64">
        <v>400</v>
      </c>
      <c r="G24" s="47"/>
      <c r="H24" s="67"/>
      <c r="I24" s="68">
        <f>E24+SUM(G24:H24)</f>
        <v>20</v>
      </c>
      <c r="J24" s="66" t="s">
        <v>13</v>
      </c>
      <c r="K24" s="75">
        <f t="shared" si="2"/>
        <v>28.867513459481287</v>
      </c>
      <c r="L24" s="76">
        <v>32</v>
      </c>
      <c r="M24" s="76"/>
      <c r="N24" s="76">
        <v>75</v>
      </c>
      <c r="O24" s="74">
        <f t="shared" ref="O24" si="16">1.45*L24</f>
        <v>46.4</v>
      </c>
      <c r="P24" s="77">
        <f t="shared" si="14"/>
        <v>108.75</v>
      </c>
      <c r="Q24" s="61" t="s">
        <v>54</v>
      </c>
      <c r="S24" s="55">
        <v>8</v>
      </c>
      <c r="T24" s="87">
        <v>0.2</v>
      </c>
      <c r="U24" s="130" t="s">
        <v>24</v>
      </c>
      <c r="V24" s="85">
        <f>T24</f>
        <v>0.2</v>
      </c>
      <c r="W24" s="85">
        <f>(0.0225*S24)/4</f>
        <v>4.4999999999999998E-2</v>
      </c>
      <c r="X24" s="88">
        <v>10</v>
      </c>
      <c r="Y24" s="52"/>
      <c r="AA24" s="58" t="s">
        <v>31</v>
      </c>
      <c r="AB24" s="59" t="s">
        <v>51</v>
      </c>
      <c r="AC24" s="59">
        <v>3</v>
      </c>
      <c r="AD24" s="59" t="s">
        <v>33</v>
      </c>
      <c r="AE24" s="59" t="s">
        <v>34</v>
      </c>
      <c r="AF24" s="59" t="s">
        <v>81</v>
      </c>
      <c r="AG24" s="61" t="s">
        <v>52</v>
      </c>
    </row>
    <row r="25" spans="2:33" s="142" customFormat="1" x14ac:dyDescent="0.3">
      <c r="B25" s="131" t="s">
        <v>44</v>
      </c>
      <c r="C25" s="150" t="s">
        <v>65</v>
      </c>
      <c r="D25" s="150">
        <v>1</v>
      </c>
      <c r="E25" s="151">
        <v>10</v>
      </c>
      <c r="F25" s="148">
        <v>400</v>
      </c>
      <c r="G25" s="150"/>
      <c r="H25" s="152"/>
      <c r="I25" s="135">
        <f>E25+SUM(G25:H25)</f>
        <v>10</v>
      </c>
      <c r="J25" s="136" t="s">
        <v>13</v>
      </c>
      <c r="K25" s="137">
        <f t="shared" si="2"/>
        <v>14.433756729740644</v>
      </c>
      <c r="L25" s="138">
        <v>20</v>
      </c>
      <c r="M25" s="138"/>
      <c r="N25" s="138">
        <v>54</v>
      </c>
      <c r="O25" s="139">
        <f t="shared" ref="O25:O31" si="17">1.45*L25</f>
        <v>29</v>
      </c>
      <c r="P25" s="140">
        <f t="shared" ref="P25:P31" si="18">1.45*N25</f>
        <v>78.3</v>
      </c>
      <c r="Q25" s="141" t="s">
        <v>53</v>
      </c>
      <c r="S25" s="153">
        <v>51</v>
      </c>
      <c r="T25" s="130">
        <v>1.2</v>
      </c>
      <c r="U25" s="130">
        <f>V12</f>
        <v>0.49</v>
      </c>
      <c r="V25" s="129">
        <f t="shared" si="6"/>
        <v>1.69</v>
      </c>
      <c r="W25" s="129">
        <f t="shared" ref="W25" si="19">(0.0225*S25)/6</f>
        <v>0.19125</v>
      </c>
      <c r="X25" s="154">
        <v>3</v>
      </c>
      <c r="Y25" s="145"/>
      <c r="AA25" s="146" t="s">
        <v>31</v>
      </c>
      <c r="AB25" s="147" t="s">
        <v>51</v>
      </c>
      <c r="AC25" s="147">
        <v>3</v>
      </c>
      <c r="AD25" s="147" t="s">
        <v>33</v>
      </c>
      <c r="AE25" s="147" t="s">
        <v>34</v>
      </c>
      <c r="AF25" s="147" t="s">
        <v>81</v>
      </c>
      <c r="AG25" s="141" t="s">
        <v>52</v>
      </c>
    </row>
    <row r="26" spans="2:33" s="142" customFormat="1" x14ac:dyDescent="0.3">
      <c r="B26" s="131" t="s">
        <v>44</v>
      </c>
      <c r="C26" s="132" t="s">
        <v>66</v>
      </c>
      <c r="D26" s="132">
        <v>1</v>
      </c>
      <c r="E26" s="133">
        <v>30</v>
      </c>
      <c r="F26" s="148">
        <v>400</v>
      </c>
      <c r="G26" s="132"/>
      <c r="H26" s="134"/>
      <c r="I26" s="135">
        <f t="shared" ref="I26:I27" si="20">E26+SUM(G26:H26)</f>
        <v>30</v>
      </c>
      <c r="J26" s="136" t="s">
        <v>13</v>
      </c>
      <c r="K26" s="137">
        <f t="shared" si="2"/>
        <v>43.301270189221931</v>
      </c>
      <c r="L26" s="138">
        <v>63</v>
      </c>
      <c r="M26" s="138"/>
      <c r="N26" s="138">
        <v>127</v>
      </c>
      <c r="O26" s="139">
        <f t="shared" si="17"/>
        <v>91.35</v>
      </c>
      <c r="P26" s="140">
        <f t="shared" si="18"/>
        <v>184.15</v>
      </c>
      <c r="Q26" s="141" t="s">
        <v>80</v>
      </c>
      <c r="S26" s="149">
        <v>52</v>
      </c>
      <c r="T26" s="129">
        <v>0.9</v>
      </c>
      <c r="U26" s="129">
        <f>V12</f>
        <v>0.49</v>
      </c>
      <c r="V26" s="129">
        <f>T26+U26</f>
        <v>1.3900000000000001</v>
      </c>
      <c r="W26" s="129">
        <f>(0.0225*S26)/6</f>
        <v>0.19499999999999998</v>
      </c>
      <c r="X26" s="144">
        <v>6</v>
      </c>
      <c r="Y26" s="145"/>
      <c r="AA26" s="146" t="s">
        <v>31</v>
      </c>
      <c r="AB26" s="147" t="s">
        <v>51</v>
      </c>
      <c r="AC26" s="147">
        <v>3</v>
      </c>
      <c r="AD26" s="147" t="s">
        <v>33</v>
      </c>
      <c r="AE26" s="147" t="s">
        <v>34</v>
      </c>
      <c r="AF26" s="147" t="s">
        <v>81</v>
      </c>
      <c r="AG26" s="141" t="s">
        <v>52</v>
      </c>
    </row>
    <row r="27" spans="2:33" s="142" customFormat="1" x14ac:dyDescent="0.3">
      <c r="B27" s="131" t="s">
        <v>83</v>
      </c>
      <c r="C27" s="132" t="s">
        <v>72</v>
      </c>
      <c r="D27" s="132">
        <v>1</v>
      </c>
      <c r="E27" s="133">
        <v>3</v>
      </c>
      <c r="F27" s="148">
        <v>230</v>
      </c>
      <c r="G27" s="150"/>
      <c r="H27" s="152"/>
      <c r="I27" s="135">
        <f t="shared" si="20"/>
        <v>3</v>
      </c>
      <c r="J27" s="136" t="s">
        <v>13</v>
      </c>
      <c r="K27" s="137">
        <f>E27*1000/F27</f>
        <v>13.043478260869565</v>
      </c>
      <c r="L27" s="138">
        <v>25</v>
      </c>
      <c r="M27" s="138"/>
      <c r="N27" s="138">
        <v>86</v>
      </c>
      <c r="O27" s="139">
        <f t="shared" ref="O27" si="21">1.45*L27</f>
        <v>36.25</v>
      </c>
      <c r="P27" s="140">
        <f t="shared" ref="P27" si="22">1.45*N27</f>
        <v>124.7</v>
      </c>
      <c r="Q27" s="141" t="s">
        <v>73</v>
      </c>
      <c r="S27" s="153">
        <v>42</v>
      </c>
      <c r="T27" s="130">
        <v>1.1000000000000001</v>
      </c>
      <c r="U27" s="130">
        <f>V25</f>
        <v>1.69</v>
      </c>
      <c r="V27" s="129">
        <f t="shared" ref="V27" si="23">T27+U27</f>
        <v>2.79</v>
      </c>
      <c r="W27" s="129">
        <f>(0.0225*S27)/6</f>
        <v>0.1575</v>
      </c>
      <c r="X27" s="144">
        <v>3</v>
      </c>
      <c r="Y27" s="145"/>
      <c r="AA27" s="146" t="s">
        <v>31</v>
      </c>
      <c r="AB27" s="147" t="s">
        <v>50</v>
      </c>
      <c r="AC27" s="147">
        <v>1</v>
      </c>
      <c r="AD27" s="147" t="s">
        <v>33</v>
      </c>
      <c r="AE27" s="147" t="s">
        <v>34</v>
      </c>
      <c r="AF27" s="147" t="s">
        <v>81</v>
      </c>
      <c r="AG27" s="141" t="s">
        <v>52</v>
      </c>
    </row>
    <row r="28" spans="2:33" s="142" customFormat="1" x14ac:dyDescent="0.3">
      <c r="B28" s="131" t="s">
        <v>64</v>
      </c>
      <c r="C28" s="150" t="s">
        <v>71</v>
      </c>
      <c r="D28" s="150">
        <v>1</v>
      </c>
      <c r="E28" s="151">
        <v>7.4</v>
      </c>
      <c r="F28" s="148">
        <v>230</v>
      </c>
      <c r="G28" s="150"/>
      <c r="H28" s="152"/>
      <c r="I28" s="135">
        <f>E28+SUM(G28:H28)</f>
        <v>7.4</v>
      </c>
      <c r="J28" s="136" t="s">
        <v>13</v>
      </c>
      <c r="K28" s="137">
        <f>E28*1000/F28</f>
        <v>32.173913043478258</v>
      </c>
      <c r="L28" s="138">
        <v>40</v>
      </c>
      <c r="M28" s="138"/>
      <c r="N28" s="138">
        <v>77.3</v>
      </c>
      <c r="O28" s="139">
        <f t="shared" si="17"/>
        <v>58</v>
      </c>
      <c r="P28" s="140">
        <f t="shared" si="18"/>
        <v>112.08499999999999</v>
      </c>
      <c r="Q28" s="141" t="s">
        <v>73</v>
      </c>
      <c r="S28" s="153">
        <v>19</v>
      </c>
      <c r="T28" s="130">
        <v>1.7</v>
      </c>
      <c r="U28" s="130">
        <f>V22</f>
        <v>1.59</v>
      </c>
      <c r="V28" s="129">
        <f t="shared" si="6"/>
        <v>3.29</v>
      </c>
      <c r="W28" s="129">
        <f t="shared" ref="W28" si="24">(0.0225*S28)/6</f>
        <v>7.1249999999999994E-2</v>
      </c>
      <c r="X28" s="154">
        <v>3</v>
      </c>
      <c r="Y28" s="145"/>
      <c r="AA28" s="146" t="s">
        <v>31</v>
      </c>
      <c r="AB28" s="147" t="s">
        <v>50</v>
      </c>
      <c r="AC28" s="147">
        <v>1</v>
      </c>
      <c r="AD28" s="147" t="s">
        <v>33</v>
      </c>
      <c r="AE28" s="147" t="s">
        <v>34</v>
      </c>
      <c r="AF28" s="147" t="s">
        <v>13</v>
      </c>
      <c r="AG28" s="141" t="s">
        <v>35</v>
      </c>
    </row>
    <row r="29" spans="2:33" s="142" customFormat="1" x14ac:dyDescent="0.3">
      <c r="B29" s="131" t="s">
        <v>64</v>
      </c>
      <c r="C29" s="150" t="s">
        <v>67</v>
      </c>
      <c r="D29" s="132">
        <v>1</v>
      </c>
      <c r="E29" s="151">
        <v>7.4</v>
      </c>
      <c r="F29" s="148">
        <v>230</v>
      </c>
      <c r="G29" s="150"/>
      <c r="H29" s="152"/>
      <c r="I29" s="135">
        <f>E29+SUM(G29:H29)</f>
        <v>7.4</v>
      </c>
      <c r="J29" s="136" t="s">
        <v>13</v>
      </c>
      <c r="K29" s="137">
        <f t="shared" ref="K29:K32" si="25">E29*1000/F29</f>
        <v>32.173913043478258</v>
      </c>
      <c r="L29" s="138">
        <v>40</v>
      </c>
      <c r="M29" s="138"/>
      <c r="N29" s="138">
        <v>77.3</v>
      </c>
      <c r="O29" s="139">
        <f t="shared" ref="O29:O30" si="26">1.45*L29</f>
        <v>58</v>
      </c>
      <c r="P29" s="140">
        <f t="shared" ref="P29:P30" si="27">1.45*N29</f>
        <v>112.08499999999999</v>
      </c>
      <c r="Q29" s="141" t="s">
        <v>73</v>
      </c>
      <c r="S29" s="153">
        <v>19</v>
      </c>
      <c r="T29" s="130">
        <v>1.7</v>
      </c>
      <c r="U29" s="130">
        <f>V22</f>
        <v>1.59</v>
      </c>
      <c r="V29" s="129">
        <f t="shared" ref="V29:V30" si="28">T29+U29</f>
        <v>3.29</v>
      </c>
      <c r="W29" s="129">
        <f>(0.0225*S29)/4</f>
        <v>0.106875</v>
      </c>
      <c r="X29" s="154">
        <v>3</v>
      </c>
      <c r="Y29" s="145"/>
      <c r="AA29" s="146" t="s">
        <v>31</v>
      </c>
      <c r="AB29" s="147" t="s">
        <v>50</v>
      </c>
      <c r="AC29" s="147">
        <v>1</v>
      </c>
      <c r="AD29" s="147" t="s">
        <v>33</v>
      </c>
      <c r="AE29" s="147" t="s">
        <v>34</v>
      </c>
      <c r="AF29" s="147" t="s">
        <v>13</v>
      </c>
      <c r="AG29" s="141" t="s">
        <v>35</v>
      </c>
    </row>
    <row r="30" spans="2:33" s="142" customFormat="1" x14ac:dyDescent="0.3">
      <c r="B30" s="131" t="s">
        <v>64</v>
      </c>
      <c r="C30" s="150" t="s">
        <v>68</v>
      </c>
      <c r="D30" s="150">
        <v>1</v>
      </c>
      <c r="E30" s="151">
        <v>7.4</v>
      </c>
      <c r="F30" s="148">
        <v>230</v>
      </c>
      <c r="G30" s="150"/>
      <c r="H30" s="152"/>
      <c r="I30" s="135">
        <f>E30+SUM(G30:H30)</f>
        <v>7.4</v>
      </c>
      <c r="J30" s="136" t="s">
        <v>13</v>
      </c>
      <c r="K30" s="137">
        <f t="shared" si="25"/>
        <v>32.173913043478258</v>
      </c>
      <c r="L30" s="138">
        <v>40</v>
      </c>
      <c r="M30" s="138"/>
      <c r="N30" s="138">
        <v>77.3</v>
      </c>
      <c r="O30" s="139">
        <f t="shared" si="26"/>
        <v>58</v>
      </c>
      <c r="P30" s="140">
        <f t="shared" si="27"/>
        <v>112.08499999999999</v>
      </c>
      <c r="Q30" s="141" t="s">
        <v>73</v>
      </c>
      <c r="S30" s="153">
        <v>23</v>
      </c>
      <c r="T30" s="130">
        <v>1.7</v>
      </c>
      <c r="U30" s="130">
        <f>V22</f>
        <v>1.59</v>
      </c>
      <c r="V30" s="129">
        <f t="shared" si="28"/>
        <v>3.29</v>
      </c>
      <c r="W30" s="129">
        <f t="shared" ref="W30" si="29">(0.0225*S30)/6</f>
        <v>8.6249999999999993E-2</v>
      </c>
      <c r="X30" s="154">
        <v>3</v>
      </c>
      <c r="Y30" s="145"/>
      <c r="AA30" s="146" t="s">
        <v>31</v>
      </c>
      <c r="AB30" s="147" t="s">
        <v>50</v>
      </c>
      <c r="AC30" s="147">
        <v>1</v>
      </c>
      <c r="AD30" s="147" t="s">
        <v>33</v>
      </c>
      <c r="AE30" s="147" t="s">
        <v>34</v>
      </c>
      <c r="AF30" s="147" t="s">
        <v>13</v>
      </c>
      <c r="AG30" s="141" t="s">
        <v>35</v>
      </c>
    </row>
    <row r="31" spans="2:33" s="142" customFormat="1" x14ac:dyDescent="0.3">
      <c r="B31" s="131" t="s">
        <v>64</v>
      </c>
      <c r="C31" s="150" t="s">
        <v>69</v>
      </c>
      <c r="D31" s="132">
        <v>1</v>
      </c>
      <c r="E31" s="151">
        <v>7.4</v>
      </c>
      <c r="F31" s="148">
        <v>230</v>
      </c>
      <c r="G31" s="150"/>
      <c r="H31" s="152"/>
      <c r="I31" s="135">
        <f>E31+SUM(G31:H31)</f>
        <v>7.4</v>
      </c>
      <c r="J31" s="136" t="s">
        <v>13</v>
      </c>
      <c r="K31" s="137">
        <f t="shared" si="25"/>
        <v>32.173913043478258</v>
      </c>
      <c r="L31" s="138">
        <v>40</v>
      </c>
      <c r="M31" s="138"/>
      <c r="N31" s="138">
        <v>77.3</v>
      </c>
      <c r="O31" s="139">
        <f t="shared" si="17"/>
        <v>58</v>
      </c>
      <c r="P31" s="140">
        <f t="shared" si="18"/>
        <v>112.08499999999999</v>
      </c>
      <c r="Q31" s="141" t="s">
        <v>73</v>
      </c>
      <c r="S31" s="153">
        <v>23</v>
      </c>
      <c r="T31" s="130">
        <v>1.7</v>
      </c>
      <c r="U31" s="130">
        <f>V22</f>
        <v>1.59</v>
      </c>
      <c r="V31" s="129">
        <f t="shared" si="6"/>
        <v>3.29</v>
      </c>
      <c r="W31" s="129">
        <f>(0.0225*S31)/4</f>
        <v>0.12937499999999999</v>
      </c>
      <c r="X31" s="154">
        <v>3</v>
      </c>
      <c r="Y31" s="145"/>
      <c r="AA31" s="146" t="s">
        <v>31</v>
      </c>
      <c r="AB31" s="147" t="s">
        <v>50</v>
      </c>
      <c r="AC31" s="147">
        <v>1</v>
      </c>
      <c r="AD31" s="147" t="s">
        <v>33</v>
      </c>
      <c r="AE31" s="147" t="s">
        <v>34</v>
      </c>
      <c r="AF31" s="147" t="s">
        <v>13</v>
      </c>
      <c r="AG31" s="141" t="s">
        <v>35</v>
      </c>
    </row>
    <row r="32" spans="2:33" s="142" customFormat="1" x14ac:dyDescent="0.3">
      <c r="B32" s="131" t="s">
        <v>64</v>
      </c>
      <c r="C32" s="150" t="s">
        <v>70</v>
      </c>
      <c r="D32" s="150">
        <v>1</v>
      </c>
      <c r="E32" s="151">
        <v>7.4</v>
      </c>
      <c r="F32" s="148">
        <v>230</v>
      </c>
      <c r="G32" s="150"/>
      <c r="H32" s="152"/>
      <c r="I32" s="135">
        <f>E32+SUM(G32:H32)</f>
        <v>7.4</v>
      </c>
      <c r="J32" s="136" t="s">
        <v>13</v>
      </c>
      <c r="K32" s="137">
        <f t="shared" si="25"/>
        <v>32.173913043478258</v>
      </c>
      <c r="L32" s="138">
        <v>40</v>
      </c>
      <c r="M32" s="138"/>
      <c r="N32" s="138">
        <v>77.3</v>
      </c>
      <c r="O32" s="139">
        <f t="shared" ref="O32" si="30">1.45*L32</f>
        <v>58</v>
      </c>
      <c r="P32" s="140">
        <f t="shared" ref="P32" si="31">1.45*N32</f>
        <v>112.08499999999999</v>
      </c>
      <c r="Q32" s="141" t="s">
        <v>73</v>
      </c>
      <c r="S32" s="153">
        <v>27</v>
      </c>
      <c r="T32" s="130">
        <v>1.7</v>
      </c>
      <c r="U32" s="130">
        <f>V22</f>
        <v>1.59</v>
      </c>
      <c r="V32" s="129">
        <f t="shared" ref="V32" si="32">T32+U32</f>
        <v>3.29</v>
      </c>
      <c r="W32" s="129">
        <f t="shared" ref="W32" si="33">(0.0225*S32)/6</f>
        <v>0.10124999999999999</v>
      </c>
      <c r="X32" s="154">
        <v>3</v>
      </c>
      <c r="Y32" s="145"/>
      <c r="AA32" s="146" t="s">
        <v>31</v>
      </c>
      <c r="AB32" s="147" t="s">
        <v>50</v>
      </c>
      <c r="AC32" s="147">
        <v>1</v>
      </c>
      <c r="AD32" s="147" t="s">
        <v>33</v>
      </c>
      <c r="AE32" s="147" t="s">
        <v>34</v>
      </c>
      <c r="AF32" s="147" t="s">
        <v>13</v>
      </c>
      <c r="AG32" s="141" t="s">
        <v>35</v>
      </c>
    </row>
    <row r="33" spans="2:33" ht="15" thickBot="1" x14ac:dyDescent="0.35">
      <c r="B33" s="43"/>
      <c r="C33" s="44"/>
      <c r="D33" s="29"/>
      <c r="E33" s="30"/>
      <c r="F33" s="30"/>
      <c r="G33" s="29"/>
      <c r="H33" s="31"/>
      <c r="I33" s="32"/>
      <c r="J33" s="33"/>
      <c r="K33" s="34"/>
      <c r="L33" s="35"/>
      <c r="M33" s="35"/>
      <c r="N33" s="35"/>
      <c r="O33" s="36"/>
      <c r="P33" s="37"/>
      <c r="Q33" s="38"/>
      <c r="S33" s="39"/>
      <c r="T33" s="40"/>
      <c r="U33" s="40"/>
      <c r="V33" s="40"/>
      <c r="W33" s="40"/>
      <c r="X33" s="41"/>
      <c r="Y33" s="2"/>
      <c r="AA33" s="48"/>
      <c r="AB33" s="49"/>
      <c r="AC33" s="49"/>
      <c r="AD33" s="49"/>
      <c r="AE33" s="49"/>
      <c r="AF33" s="49"/>
      <c r="AG33" s="37"/>
    </row>
    <row r="35" spans="2:33" x14ac:dyDescent="0.3">
      <c r="AF35" s="20"/>
    </row>
  </sheetData>
  <mergeCells count="29">
    <mergeCell ref="AA7:AG7"/>
    <mergeCell ref="AA8:AA9"/>
    <mergeCell ref="AB8:AB9"/>
    <mergeCell ref="AC8:AC9"/>
    <mergeCell ref="AD8:AD9"/>
    <mergeCell ref="AE8:AE9"/>
    <mergeCell ref="AF8:AF9"/>
    <mergeCell ref="AG8:AG9"/>
    <mergeCell ref="W8:W9"/>
    <mergeCell ref="X8:X9"/>
    <mergeCell ref="Y8:Y9"/>
    <mergeCell ref="S7:Y7"/>
    <mergeCell ref="Q8:Q9"/>
    <mergeCell ref="S8:S9"/>
    <mergeCell ref="T8:T9"/>
    <mergeCell ref="U8:U9"/>
    <mergeCell ref="B7:I7"/>
    <mergeCell ref="B8:B9"/>
    <mergeCell ref="C8:C9"/>
    <mergeCell ref="D8:I8"/>
    <mergeCell ref="V8:V9"/>
    <mergeCell ref="J7:P7"/>
    <mergeCell ref="J8:J9"/>
    <mergeCell ref="K8:K9"/>
    <mergeCell ref="L8:L9"/>
    <mergeCell ref="M8:M9"/>
    <mergeCell ref="N8:N9"/>
    <mergeCell ref="O8:O9"/>
    <mergeCell ref="P8:P9"/>
  </mergeCells>
  <phoneticPr fontId="4" type="noConversion"/>
  <printOptions horizontalCentered="1" verticalCentered="1"/>
  <pageMargins left="0.51181102362204722" right="0.51181102362204722" top="0.55118110236220474" bottom="0.55118110236220474" header="0.11811023622047245" footer="0.11811023622047245"/>
  <pageSetup paperSize="9" scale="5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169b92-dff0-449b-befa-c44ef96a299b" xsi:nil="true"/>
    <lcf76f155ced4ddcb4097134ff3c332f xmlns="9b744be4-98c0-4cc8-8cdc-e6d511b9c7c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6FB125B8E53C4B881ACDD7310999D8" ma:contentTypeVersion="11" ma:contentTypeDescription="Criar um novo documento." ma:contentTypeScope="" ma:versionID="785569bb1f425eea28b352e6f763fc6a">
  <xsd:schema xmlns:xsd="http://www.w3.org/2001/XMLSchema" xmlns:xs="http://www.w3.org/2001/XMLSchema" xmlns:p="http://schemas.microsoft.com/office/2006/metadata/properties" xmlns:ns2="9b744be4-98c0-4cc8-8cdc-e6d511b9c7ce" xmlns:ns3="72169b92-dff0-449b-befa-c44ef96a299b" targetNamespace="http://schemas.microsoft.com/office/2006/metadata/properties" ma:root="true" ma:fieldsID="b7d5da3c0c9a00bd7717bf66e7b79d6f" ns2:_="" ns3:_="">
    <xsd:import namespace="9b744be4-98c0-4cc8-8cdc-e6d511b9c7ce"/>
    <xsd:import namespace="72169b92-dff0-449b-befa-c44ef96a29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44be4-98c0-4cc8-8cdc-e6d511b9c7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93f449cc-063f-4890-80cb-d4bc6853fd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169b92-dff0-449b-befa-c44ef96a299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796a4c-bd6c-40db-a488-b7fb096bc386}" ma:internalName="TaxCatchAll" ma:showField="CatchAllData" ma:web="72169b92-dff0-449b-befa-c44ef96a29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1045A4-0B70-4579-AC46-E9659F13C6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B7D66C-2BB1-4DAC-BEB3-0DCDC6FE730C}">
  <ds:schemaRefs>
    <ds:schemaRef ds:uri="http://schemas.openxmlformats.org/package/2006/metadata/core-properties"/>
    <ds:schemaRef ds:uri="http://purl.org/dc/dcmitype/"/>
    <ds:schemaRef ds:uri="04792bc3-c41d-4100-aa1e-dcc4a752607a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1d686f00-4671-4ae8-88ac-be40c43ca6a4"/>
    <ds:schemaRef ds:uri="http://schemas.microsoft.com/office/infopath/2007/PartnerControls"/>
    <ds:schemaRef ds:uri="http://purl.org/dc/terms/"/>
    <ds:schemaRef ds:uri="72169b92-dff0-449b-befa-c44ef96a299b"/>
    <ds:schemaRef ds:uri="9b744be4-98c0-4cc8-8cdc-e6d511b9c7ce"/>
  </ds:schemaRefs>
</ds:datastoreItem>
</file>

<file path=customXml/itemProps3.xml><?xml version="1.0" encoding="utf-8"?>
<ds:datastoreItem xmlns:ds="http://schemas.openxmlformats.org/officeDocument/2006/customXml" ds:itemID="{B65A5C55-FC85-4EBB-B807-87A2EF2FD5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744be4-98c0-4cc8-8cdc-e6d511b9c7ce"/>
    <ds:schemaRef ds:uri="72169b92-dff0-449b-befa-c44ef96a29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Folha1</vt:lpstr>
      <vt:lpstr>Folha1!Área_de_Impressão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ELCA SANTOS VARELA TAVARES</dc:creator>
  <cp:keywords/>
  <dc:description/>
  <cp:lastModifiedBy>Ana Exemplo</cp:lastModifiedBy>
  <cp:revision/>
  <cp:lastPrinted>2025-04-02T12:11:11Z</cp:lastPrinted>
  <dcterms:created xsi:type="dcterms:W3CDTF">2024-02-25T11:06:08Z</dcterms:created>
  <dcterms:modified xsi:type="dcterms:W3CDTF">2026-01-23T17:05:18Z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0x0101007C6FB125B8E53C4B881ACDD7310999D8</vt:lpwstr>
  </property>
  <property fmtid="{D5CDD505-2E9C-101B-9397-08002B2CF9AE}" pid="3" name="MediaServiceImageTags">
    <vt:lpwstr/>
  </property>
</Properties>
</file>