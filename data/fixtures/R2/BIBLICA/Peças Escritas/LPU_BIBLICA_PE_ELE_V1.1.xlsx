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u.sharepoint.com/sites/39962025_BIBLICA_ProjetoBibliotecaCantanhede/Documentos Partilhados/1_COORD/3_ESP/2-PE/TUU Interno/6-ELE/1-PE/"/>
    </mc:Choice>
  </mc:AlternateContent>
  <xr:revisionPtr revIDLastSave="506" documentId="13_ncr:10000001_{70BE69A6-A69B-4D4E-94DB-4467F74633E3}" xr6:coauthVersionLast="47" xr6:coauthVersionMax="47" xr10:uidLastSave="{3643961B-FC0A-4976-97F9-6616758B07F5}"/>
  <bookViews>
    <workbookView xWindow="-108" yWindow="-108" windowWidth="23256" windowHeight="12456" xr2:uid="{70439E0C-72D6-4F3A-B0B7-ED4FFBAB6A91}"/>
  </bookViews>
  <sheets>
    <sheet name="LPU" sheetId="1" r:id="rId1"/>
  </sheets>
  <definedNames>
    <definedName name="_xlnm.Print_Area" localSheetId="0">LPU!$B$1:$H$257</definedName>
    <definedName name="_xlnm.Print_Titles" localSheetId="0">LPU!$9:$11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9" i="1" l="1"/>
  <c r="G59" i="1"/>
  <c r="G58" i="1"/>
  <c r="E32" i="1"/>
  <c r="E31" i="1"/>
  <c r="E30" i="1"/>
  <c r="E34" i="1"/>
  <c r="G150" i="1"/>
  <c r="G28" i="1"/>
  <c r="G29" i="1"/>
  <c r="I19" i="1" l="1"/>
  <c r="G19" i="1"/>
  <c r="E110" i="1"/>
  <c r="E111" i="1"/>
  <c r="G85" i="1"/>
  <c r="F116" i="1"/>
  <c r="G116" i="1" s="1"/>
  <c r="G130" i="1"/>
  <c r="J140" i="1" l="1"/>
  <c r="G146" i="1"/>
  <c r="G132" i="1"/>
  <c r="G133" i="1"/>
  <c r="G141" i="1"/>
  <c r="G52" i="1" l="1"/>
  <c r="G51" i="1"/>
  <c r="G213" i="1" l="1"/>
  <c r="G111" i="1"/>
  <c r="J210" i="1"/>
  <c r="G234" i="1"/>
  <c r="G233" i="1"/>
  <c r="G232" i="1"/>
  <c r="G230" i="1"/>
  <c r="G227" i="1"/>
  <c r="G225" i="1"/>
  <c r="G224" i="1"/>
  <c r="G222" i="1"/>
  <c r="G221" i="1"/>
  <c r="G220" i="1"/>
  <c r="G219" i="1"/>
  <c r="G218" i="1"/>
  <c r="G217" i="1"/>
  <c r="G216" i="1"/>
  <c r="G215" i="1"/>
  <c r="G214" i="1"/>
  <c r="G212" i="1"/>
  <c r="G211" i="1"/>
  <c r="G210" i="1"/>
  <c r="G209" i="1"/>
  <c r="G208" i="1"/>
  <c r="G207" i="1"/>
  <c r="G206" i="1"/>
  <c r="H205" i="1" l="1"/>
  <c r="I20" i="1" l="1"/>
  <c r="F115" i="1"/>
  <c r="F114" i="1"/>
  <c r="G114" i="1" s="1"/>
  <c r="G36" i="1"/>
  <c r="F27" i="1"/>
  <c r="G27" i="1" s="1"/>
  <c r="G26" i="1"/>
  <c r="G47" i="1"/>
  <c r="G54" i="1"/>
  <c r="G56" i="1"/>
  <c r="G55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4" i="1"/>
  <c r="G163" i="1"/>
  <c r="G162" i="1"/>
  <c r="G161" i="1"/>
  <c r="G160" i="1"/>
  <c r="G159" i="1"/>
  <c r="G158" i="1"/>
  <c r="G156" i="1"/>
  <c r="F155" i="1"/>
  <c r="G155" i="1" s="1"/>
  <c r="F154" i="1"/>
  <c r="G154" i="1" s="1"/>
  <c r="F153" i="1"/>
  <c r="G153" i="1" s="1"/>
  <c r="F152" i="1"/>
  <c r="G152" i="1" s="1"/>
  <c r="F151" i="1"/>
  <c r="G151" i="1" s="1"/>
  <c r="G149" i="1"/>
  <c r="G148" i="1"/>
  <c r="G144" i="1"/>
  <c r="G143" i="1"/>
  <c r="G140" i="1"/>
  <c r="G139" i="1"/>
  <c r="G138" i="1"/>
  <c r="G137" i="1"/>
  <c r="G136" i="1"/>
  <c r="G135" i="1"/>
  <c r="G134" i="1"/>
  <c r="G131" i="1"/>
  <c r="G129" i="1"/>
  <c r="G128" i="1"/>
  <c r="G127" i="1"/>
  <c r="G126" i="1"/>
  <c r="G125" i="1"/>
  <c r="G124" i="1"/>
  <c r="G122" i="1"/>
  <c r="G121" i="1"/>
  <c r="G120" i="1"/>
  <c r="G119" i="1"/>
  <c r="G118" i="1"/>
  <c r="G115" i="1"/>
  <c r="G113" i="1"/>
  <c r="G112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7" i="1"/>
  <c r="G53" i="1"/>
  <c r="G50" i="1"/>
  <c r="G49" i="1"/>
  <c r="G48" i="1"/>
  <c r="G46" i="1"/>
  <c r="G45" i="1"/>
  <c r="G44" i="1"/>
  <c r="G43" i="1"/>
  <c r="G42" i="1"/>
  <c r="G41" i="1"/>
  <c r="G40" i="1"/>
  <c r="G39" i="1"/>
  <c r="G38" i="1"/>
  <c r="G37" i="1"/>
  <c r="G35" i="1"/>
  <c r="G34" i="1"/>
  <c r="G33" i="1"/>
  <c r="G32" i="1"/>
  <c r="G31" i="1"/>
  <c r="G30" i="1"/>
  <c r="G25" i="1"/>
  <c r="G24" i="1"/>
  <c r="G23" i="1"/>
  <c r="G22" i="1"/>
  <c r="G21" i="1"/>
  <c r="G20" i="1"/>
  <c r="G18" i="1"/>
  <c r="G17" i="1"/>
  <c r="G16" i="1"/>
  <c r="G15" i="1"/>
  <c r="G14" i="1"/>
  <c r="G13" i="1"/>
  <c r="G12" i="1"/>
  <c r="G257" i="1" l="1"/>
  <c r="H12" i="1"/>
  <c r="H224" i="1"/>
  <c r="H236" i="1"/>
  <c r="H166" i="1"/>
</calcChain>
</file>

<file path=xl/sharedStrings.xml><?xml version="1.0" encoding="utf-8"?>
<sst xmlns="http://schemas.openxmlformats.org/spreadsheetml/2006/main" count="731" uniqueCount="456">
  <si>
    <t xml:space="preserve">Designação: </t>
  </si>
  <si>
    <t>Adjudicatário:</t>
  </si>
  <si>
    <t>Adjudicante:</t>
  </si>
  <si>
    <t>Fiscalização:</t>
  </si>
  <si>
    <t>Artº</t>
  </si>
  <si>
    <t>Designação</t>
  </si>
  <si>
    <t>Un</t>
  </si>
  <si>
    <t>QUANTIDADES ADJUDICADAS</t>
  </si>
  <si>
    <t>Quant.</t>
  </si>
  <si>
    <t>Pr. Unit.</t>
  </si>
  <si>
    <t>Total</t>
  </si>
  <si>
    <t/>
  </si>
  <si>
    <t>vg</t>
  </si>
  <si>
    <t>m</t>
  </si>
  <si>
    <t>un</t>
  </si>
  <si>
    <t>DIVERSOS</t>
  </si>
  <si>
    <t>ml</t>
  </si>
  <si>
    <t>cj</t>
  </si>
  <si>
    <t xml:space="preserve">INSTALAÇÕES ELÉTRICAS </t>
  </si>
  <si>
    <t>Cj</t>
  </si>
  <si>
    <t>UPS</t>
  </si>
  <si>
    <t>Tubos e caminho de cabos</t>
  </si>
  <si>
    <t>Fornecimento e montagem de tubagem embebida em roço, em vala ou instalada á vista sob teto falso, incluindo todos os acessórios de instalação e montagem, tais como braçadeiras, boquilhas, uniões, batentes, ou outros que sejam necessários. Tubagens dos seguintes tipos e diâmetros:</t>
  </si>
  <si>
    <t>VD/Erfe 25mm</t>
  </si>
  <si>
    <t>Fornecimento e montagem de caminhos de cabos em varão electrosoldado, galvanizado a quente, incluindo suportes em consola reforçada. Inclui todos os acessórios de mudanças de direção, união de caminhos de cabos suportes de caixas de derivação e uniões para ligação equipotencial. Caminhos de cabos com as seguintes dimensões:</t>
  </si>
  <si>
    <t>Cabos, condutores e botoneiras</t>
  </si>
  <si>
    <t>Fornecimento e montagem de cabos instalados em caminhos de cabos, enfiados em tubagens embebidas em elementos de construção ou á vista, dos seguintes tipos:</t>
  </si>
  <si>
    <t>Quadros elétricos</t>
  </si>
  <si>
    <t>REDE DE TERRAS</t>
  </si>
  <si>
    <t>Caixa de terra terminal principal 3E+IS, +47204 da Quiterios ou equivalente.</t>
  </si>
  <si>
    <t>TOMADAS E EQUIPAMENTOS</t>
  </si>
  <si>
    <t>Tubos e caixas</t>
  </si>
  <si>
    <t>Fornecimento e montagem de caixas de derivação 80x80x40mm de montagem de acordo com o IP regulamentar com a compartimentação, incluindo boquilhas, ligadores rápidos e todos os acessórios inerentes á sua correta instalação.</t>
  </si>
  <si>
    <t>Fornecimento e montagem de caixas terminais de acordo com o IP regulamentar, incluindo boquilhas, ligadores rápidos e todos os acessórios inerentes á sua correta instalkação.</t>
  </si>
  <si>
    <t>Cabos e condutores</t>
  </si>
  <si>
    <t>Fornecimento e montagem de cabos instalados em caminhos de cabos, enfiados em tubagens embebidas em elementos de construção ou á vista, dos seguintes tipos e secções:</t>
  </si>
  <si>
    <t>XZ1(frt,zh) 3G2,5mm2</t>
  </si>
  <si>
    <t>XZ1(frt,zh) 5G2,5mm2</t>
  </si>
  <si>
    <t>XZ1(frt,zh) 5G4mm2</t>
  </si>
  <si>
    <t>XZ1(frt,zh) 5G6mm2</t>
  </si>
  <si>
    <t>Aparelhagem</t>
  </si>
  <si>
    <t>tomadas embebida em caixa de aparelhagem, 2P+T tipo Schuko 16A com alveolos protegidos, IP 20</t>
  </si>
  <si>
    <t>ILUMINAÇÃO</t>
  </si>
  <si>
    <t>VD/Erfe 20mm</t>
  </si>
  <si>
    <t>XZ1(frt,zh) 2X1,5mm2</t>
  </si>
  <si>
    <t>XZ1(frt,zh) 3G1,5mm2</t>
  </si>
  <si>
    <t>XZ1(frt,zh) 4G1,5mm2</t>
  </si>
  <si>
    <t>Aparelhos de iluminação</t>
  </si>
  <si>
    <t>Iluminação de segurança não permanente, equipada com pictograma fotoluminescente</t>
  </si>
  <si>
    <t>Iluminação de segurança permanente, equipada com pictograma fotoluminescente</t>
  </si>
  <si>
    <t>Abertura e tapamento de roços para instalação de canalizações, incluindo remoção de entulho para vazadouro.</t>
  </si>
  <si>
    <t>Fornecimento e instalação de sistema de sinalização e chamadas para as instalações sanitárias de mobilidade reduzida.</t>
  </si>
  <si>
    <t>Elaboração de telas finais conforme instalação</t>
  </si>
  <si>
    <t>Elaboração de ensaios, medições, formação e certificação das instalações</t>
  </si>
  <si>
    <t>9.1</t>
  </si>
  <si>
    <t>9.2</t>
  </si>
  <si>
    <t>Fornecimento e instalação de caixas de aparelhagem de fundo duplo para colocação de tomadas.</t>
  </si>
  <si>
    <t>CABOS E CONDUTORES</t>
  </si>
  <si>
    <t>SISTEMA AUTOMÁTICO DE DETEÇÃO DE INCÊNDIO</t>
  </si>
  <si>
    <t>10.1</t>
  </si>
  <si>
    <t>CENTRAL INCÊNDIO</t>
  </si>
  <si>
    <t>10.1.1</t>
  </si>
  <si>
    <t>EQUIPAMENTOS</t>
  </si>
  <si>
    <t>10.1.1.1</t>
  </si>
  <si>
    <t>10.1.1.2</t>
  </si>
  <si>
    <t xml:space="preserve">Fornecimento e instalação de fonte alimentação de 12V, 7.2Ah </t>
  </si>
  <si>
    <t>10.1.1.3</t>
  </si>
  <si>
    <t>10.1.1.4</t>
  </si>
  <si>
    <t>Fornecimento e montagem de botoneiras de disparo manual, rearmaveis, de acordo com as peças escritas e desenhadas, incluindo todos os acessórios de instalação e montagem necessários.</t>
  </si>
  <si>
    <t>10.1.1.7</t>
  </si>
  <si>
    <t>10.1.1.8</t>
  </si>
  <si>
    <t>10.1.1.9</t>
  </si>
  <si>
    <t>10.1.1.11</t>
  </si>
  <si>
    <t>Fornecimento e montagem de sirene interior, de acordo com as peças escritas e desenhadas, incluindo todos os acessórios de instalação e montagem necessários.</t>
  </si>
  <si>
    <t>Fornecimento e montagem de indicador de ação remoto, de acordo com as peças escritas e desenhadas, incluindo todos os acessórios de instalação e montagem necessários.</t>
  </si>
  <si>
    <t>10.1.2</t>
  </si>
  <si>
    <t>TUBAGENS</t>
  </si>
  <si>
    <t>10.1.2.1</t>
  </si>
  <si>
    <t>FL/VD 20mmØ</t>
  </si>
  <si>
    <t>10.1.3</t>
  </si>
  <si>
    <t>10.1.3.1</t>
  </si>
  <si>
    <t>fornecimento e montagem de cabos enfiados em tubagem dos seguintes tipos ( nos percursos centrais compatíveis os cabos partilham os caminhos de cabos das ITED):</t>
  </si>
  <si>
    <t>10.1.3.1.1</t>
  </si>
  <si>
    <t>LiH(st)H FE180 2x1.5mm2</t>
  </si>
  <si>
    <t>LISTA DE PREÇOS UNITÁRIOS</t>
  </si>
  <si>
    <t>Fornecimento e instalação de botoneira de corte geral com dupla sinalização.</t>
  </si>
  <si>
    <t>Fornecimento e montagem de central de detecção de incêndios de 2 loops, de acordo com as peças escritas e desenhadas, incluindo todos os acessórios de instalação e montagem necessário á sua colocação em serviço</t>
  </si>
  <si>
    <t>CAMINHOS DE CABOS</t>
  </si>
  <si>
    <t>10.1.4</t>
  </si>
  <si>
    <t>10.1.4.1</t>
  </si>
  <si>
    <t>10.1.4.1.1</t>
  </si>
  <si>
    <t>Q.P.CAFETARIA</t>
  </si>
  <si>
    <t>Q.P.REGIE</t>
  </si>
  <si>
    <t>Q.P.ADMIN.</t>
  </si>
  <si>
    <t>Q.P.ARQUIVO</t>
  </si>
  <si>
    <t xml:space="preserve">Execução da rede de terras de acordo com as peças desenhadas escritas, incluindo todos os trabalhos e acessórios, necessários aos seu correto funcionamento. </t>
  </si>
  <si>
    <t>(8xT5, 12xT2, 16xT4, 95m Fita)</t>
  </si>
  <si>
    <t>Execução de ligações equipotênciais, nomeadamente esteira metálica, bancadas, e outros elementos metálicos</t>
  </si>
  <si>
    <t>tomadas  2P+T tipo Schuko 16A,  com alveolos protegidos, para instalação em caixas de chão</t>
  </si>
  <si>
    <t>tomadas  2P+T tipo Schuko 16A, Vermelhas,  com alveolos protegidos, para instalação em caixas de chão</t>
  </si>
  <si>
    <t>TOTAL:</t>
  </si>
  <si>
    <t>Fornecimento e montagem de detetores óticos de acordo com as peças escritas e desenhadas, incluindo bases e todos os acessórios de instalação e montagem necessários.</t>
  </si>
  <si>
    <t>Fornecimento e montagem de tubagem, embebida em alvenaria ou em laje de betão na armadura, ou á vista sob teto falso, dos tipos e diâmetros seguintes:</t>
  </si>
  <si>
    <t>elev + m café</t>
  </si>
  <si>
    <t>XZ1(frt,zh) 5G1,5mm2</t>
  </si>
  <si>
    <t>Ilum Emerg</t>
  </si>
  <si>
    <t>Fornecimento e instalação de caixas de aparelhagem de fundo duplo para colocação de aparelhagem de comando.</t>
  </si>
  <si>
    <t>Q.SEGURANÇA</t>
  </si>
  <si>
    <t>Fornecimento e instalação de Caixa de chão de 12 módulos, com tampa rebaixada para acabamento. Equipada com 3 tomadas  2P+T tipo Schuko 16A, 2 tomadas 2P+T tipo Schuko 16A, Vermelhas (UPS),  com alveolos protegidos, e duas tomadas RJ45 Cat.6, contabilizadas separadamente)</t>
  </si>
  <si>
    <t>Fornecimento e instalação de caixa de chão de 2 módulos para instalação de uma tomada 2P+T de 16A com alvéolos protegidos.</t>
  </si>
  <si>
    <t>Reabilitação da Biblioteca Municipal de Cantanhede</t>
  </si>
  <si>
    <t>Município de Cantanhede</t>
  </si>
  <si>
    <t>Data:</t>
  </si>
  <si>
    <t>1.8</t>
  </si>
  <si>
    <t>1.8.1</t>
  </si>
  <si>
    <t>1.8.1.1</t>
  </si>
  <si>
    <t>1.8.1.2</t>
  </si>
  <si>
    <t>1.8.1.3</t>
  </si>
  <si>
    <t>1.8.1.4</t>
  </si>
  <si>
    <t>1.8.1.5</t>
  </si>
  <si>
    <t>1.8.1.6</t>
  </si>
  <si>
    <t>1.8.1.7</t>
  </si>
  <si>
    <t>1.8.1.8</t>
  </si>
  <si>
    <t>10.2</t>
  </si>
  <si>
    <t>10.2.1</t>
  </si>
  <si>
    <t>10.2.1.1</t>
  </si>
  <si>
    <t>10.2.1.2</t>
  </si>
  <si>
    <t>10.2.1.3</t>
  </si>
  <si>
    <t>10.2.1.4</t>
  </si>
  <si>
    <t>10.3</t>
  </si>
  <si>
    <t>10.3.1</t>
  </si>
  <si>
    <t>10.3.2</t>
  </si>
  <si>
    <t>10.3.3</t>
  </si>
  <si>
    <t>10.3.4</t>
  </si>
  <si>
    <t>10.3.5</t>
  </si>
  <si>
    <t>10.3.6</t>
  </si>
  <si>
    <t>1.5</t>
  </si>
  <si>
    <t>1.5.1</t>
  </si>
  <si>
    <t>11.1</t>
  </si>
  <si>
    <t>11.1.1</t>
  </si>
  <si>
    <t>11.1.1.1</t>
  </si>
  <si>
    <t>11.1.1.2</t>
  </si>
  <si>
    <t>11.1.1.3</t>
  </si>
  <si>
    <t>11.1.1.4</t>
  </si>
  <si>
    <t>11.2</t>
  </si>
  <si>
    <t>11.2.1</t>
  </si>
  <si>
    <t>11.2.1.1</t>
  </si>
  <si>
    <t>11.2.1.2</t>
  </si>
  <si>
    <t>11.2.1.3</t>
  </si>
  <si>
    <t>11.2.1.5</t>
  </si>
  <si>
    <t>11.3</t>
  </si>
  <si>
    <t>11.3.1</t>
  </si>
  <si>
    <t>11.4</t>
  </si>
  <si>
    <t>11.4.1</t>
  </si>
  <si>
    <t>11.4.1.1</t>
  </si>
  <si>
    <t>11.4.1.2</t>
  </si>
  <si>
    <t>11.4.1.3</t>
  </si>
  <si>
    <t>11.4.1.4</t>
  </si>
  <si>
    <t>11.4.1.5</t>
  </si>
  <si>
    <t>11.4.1.6</t>
  </si>
  <si>
    <t>11.4.1.7</t>
  </si>
  <si>
    <t>11.4.1.8</t>
  </si>
  <si>
    <t>11.4.1.9</t>
  </si>
  <si>
    <t>11.4.1.10</t>
  </si>
  <si>
    <t>11.4.3</t>
  </si>
  <si>
    <t>11.4.4</t>
  </si>
  <si>
    <t>12.1</t>
  </si>
  <si>
    <t>12.2</t>
  </si>
  <si>
    <t>12.3</t>
  </si>
  <si>
    <t>12.4</t>
  </si>
  <si>
    <t>12.5</t>
  </si>
  <si>
    <t>12.6</t>
  </si>
  <si>
    <t>1.1.1</t>
  </si>
  <si>
    <t>1.1.1.1</t>
  </si>
  <si>
    <t>1.1.1.2</t>
  </si>
  <si>
    <t>1.1.1.3</t>
  </si>
  <si>
    <t>1.1.2</t>
  </si>
  <si>
    <t>1.1.2.3</t>
  </si>
  <si>
    <t>1.1.2.4</t>
  </si>
  <si>
    <t>1.1</t>
  </si>
  <si>
    <t>1.2</t>
  </si>
  <si>
    <t>1.2.1</t>
  </si>
  <si>
    <t>1.2.1.1</t>
  </si>
  <si>
    <t>1.2.1.2</t>
  </si>
  <si>
    <t>1.2.1.3</t>
  </si>
  <si>
    <t>1.2.1.4</t>
  </si>
  <si>
    <t>1.2.1.5</t>
  </si>
  <si>
    <t>1.2.1.6</t>
  </si>
  <si>
    <t>1.2.1.7</t>
  </si>
  <si>
    <t>1.2.2</t>
  </si>
  <si>
    <t>10.1.2.1.1</t>
  </si>
  <si>
    <t>Total Cap.</t>
  </si>
  <si>
    <t>L4 - Luminária tipo paine de encastrar 595x595mm, DALI</t>
  </si>
  <si>
    <t>Legrand X-light 180</t>
  </si>
  <si>
    <t>TROMILUX</t>
  </si>
  <si>
    <t>L7 - Luminária tipo régua suspensa</t>
  </si>
  <si>
    <t>L8 - Luminária tipo Downlight sem aba, Ø114mm</t>
  </si>
  <si>
    <t>L9 - Luminária tipo Downlight com aba, Ø265mm</t>
  </si>
  <si>
    <t>L3 - Luminária tipo aplique de parede saliente, interior</t>
  </si>
  <si>
    <t>L11 - Luminária tipo aplique de parede saliente, exterior</t>
  </si>
  <si>
    <t>L1 - Luminária tipo régua de encastrar, 1970mm, DALI</t>
  </si>
  <si>
    <t>11.4.1.11</t>
  </si>
  <si>
    <t>Fornecimento e instalação de detetores de presença dos seguintes tipos:</t>
  </si>
  <si>
    <t>SNC - Luminária de Sanca (Régua linear)</t>
  </si>
  <si>
    <t>Q.P.ATRIO</t>
  </si>
  <si>
    <t xml:space="preserve">Q.P.BIB.INF. </t>
  </si>
  <si>
    <t>Q.E.G.</t>
  </si>
  <si>
    <t>Fornecimento e montagem de quadros elétricos, eletrificados de acordo com as peças desenhadas, e de acordo com as características técnicas da memoria descritiva, incluindo todos os equipamentos descritos nos esquemas unifilares e peças escritas, incluindo KNX (Equipamentos cotabilizados separadamente), com as seguintes designações:</t>
  </si>
  <si>
    <t>1.6</t>
  </si>
  <si>
    <t>1.6.1</t>
  </si>
  <si>
    <t>1.6.2</t>
  </si>
  <si>
    <t>SISTEMA DE DESENFUMAGEM</t>
  </si>
  <si>
    <t>1.6.3</t>
  </si>
  <si>
    <r>
      <t xml:space="preserve">Fornecimento e instalação de </t>
    </r>
    <r>
      <rPr>
        <u/>
        <sz val="10"/>
        <rFont val="Aptos Narrow"/>
        <family val="2"/>
        <scheme val="minor"/>
      </rPr>
      <t>UPS de 30kVA com 90 minutos</t>
    </r>
    <r>
      <rPr>
        <sz val="10"/>
        <rFont val="Aptos Narrow"/>
        <family val="2"/>
        <scheme val="minor"/>
      </rPr>
      <t xml:space="preserve"> de autonomia, incluindo todos os acessórios e equipamentos necessários ao seu correto funcionamento.</t>
    </r>
  </si>
  <si>
    <t>Controlador permanente de isolamento (CPI) - para circuito IT, incluindo todos os acessórios necessários, para a correta instalação e funcionamento.</t>
  </si>
  <si>
    <t>Fornecimento, instalação e ligações de transformador de isolamento trifásico 400/400V, com caixa de proteção, de acordo com as normas em vigor, incluindo todos os acessórios necessários à sua correta instalação e funcionamento.</t>
  </si>
  <si>
    <r>
      <t xml:space="preserve">Fornecimento e instalação de </t>
    </r>
    <r>
      <rPr>
        <u/>
        <sz val="10"/>
        <rFont val="Aptos Narrow"/>
        <family val="2"/>
        <scheme val="minor"/>
      </rPr>
      <t>UPS trifásica 400/400V dupla conversão de 10kVA com 20 minutos</t>
    </r>
    <r>
      <rPr>
        <sz val="10"/>
        <rFont val="Aptos Narrow"/>
        <family val="2"/>
        <scheme val="minor"/>
      </rPr>
      <t xml:space="preserve"> de autonomia, incluindo todos os acessórios e equipamentos necessários ao seu correto funcionamento.</t>
    </r>
  </si>
  <si>
    <t>10.3.7</t>
  </si>
  <si>
    <t>tomadas  2P+T tipo Schuko 16A, Vermelhas,  com alveolos protegidos, para instalação embebida na parede</t>
  </si>
  <si>
    <t>Fornecimento e montagem de aparelhagem eléctrica, incluindo caixas de aparelhagem, ligadores de derivação no fundo das caixas, parafusos, boquilhas, espelhos duplos ou simples, e todos os acessórios que sejam necessários, dos seguintes tipos, (IP de acordo com a compartimentação )  BERKER Q.3, na cor branca da HAGER. (outras cores ou acabamentos a acordar com o Dono de Obra). As tomadas socorridas devem ter o centro na cor vermelha.</t>
  </si>
  <si>
    <t>Fornecimento e montagem de aparelhagem eléctrica, incluindo caixas de aparelhagem, ligadores de derivação no fundo das caixas, parafusos, boquilhas, espelhos duplos ou simples, e todos os acessórios que sejam necessários, dos seguintes tipos, (IP de acordo com a compartimentação )  BERKER Q.3, na cor branca da HAGER ou equivalente. (outras cores ou acabamentos a acordar com o Dono de Obra)</t>
  </si>
  <si>
    <t>13.1</t>
  </si>
  <si>
    <t>13.2</t>
  </si>
  <si>
    <t>13.3</t>
  </si>
  <si>
    <t>13.4</t>
  </si>
  <si>
    <t>13.5</t>
  </si>
  <si>
    <t>AUDIOVISUAL</t>
  </si>
  <si>
    <t>DP - TXD501 Mini KNX</t>
  </si>
  <si>
    <t>DM - TXD505 KNX</t>
  </si>
  <si>
    <t>11.3.1.1</t>
  </si>
  <si>
    <t>11.3.1.2</t>
  </si>
  <si>
    <t>11.3.1.3</t>
  </si>
  <si>
    <t>11.3.2</t>
  </si>
  <si>
    <t>11.3.2.1</t>
  </si>
  <si>
    <t>11.3.2.2</t>
  </si>
  <si>
    <t>11.3.2.3</t>
  </si>
  <si>
    <t>11.3.2.4</t>
  </si>
  <si>
    <t>11.5</t>
  </si>
  <si>
    <t>Equipamento KNX</t>
  </si>
  <si>
    <t>Fornecimento e montagem nos respetivos quadros elétricos,de aparelhagem de controlo KNX, incluindo fontes de alimentação, de acordo com as especificações técnicas das peças escritas e desenhadas.</t>
  </si>
  <si>
    <t>11.5.1</t>
  </si>
  <si>
    <t>11.5.1.1</t>
  </si>
  <si>
    <t>11.5.1.2</t>
  </si>
  <si>
    <t>11.5.1.3</t>
  </si>
  <si>
    <t>11.5.1.4</t>
  </si>
  <si>
    <t>11.5.1.5</t>
  </si>
  <si>
    <t>11.5.1.6</t>
  </si>
  <si>
    <t>TYA608C (Atuador ON/OFF 8 canais), ou equivalente.</t>
  </si>
  <si>
    <t>TYA604C (Atuador ON/OFF 4 canais), ou equivalente.</t>
  </si>
  <si>
    <t>TJAS471 (Servidor DOMOVEA), ou equivalente.</t>
  </si>
  <si>
    <t>TYFS672D (128 luminárias, Gateway DALI/KNX 2 canais), ou equivalente.</t>
  </si>
  <si>
    <t>Instalação e execução das ligações dos equipamentos nos respetivos quadros elétricos, incluindo todos os acessórios necessários à correta ligaçáo e funcionamento da instalação.
Parametrização dos equipamentos e programação do sistema Easy KNX da HAGER, ou equivalente.</t>
  </si>
  <si>
    <t>média 5 tamanhos</t>
  </si>
  <si>
    <t>13.1.1</t>
  </si>
  <si>
    <t>13.1.2</t>
  </si>
  <si>
    <t>13.1.3</t>
  </si>
  <si>
    <t>13.1.4</t>
  </si>
  <si>
    <t>13.1.5</t>
  </si>
  <si>
    <t>13.1.6</t>
  </si>
  <si>
    <t>13.2.1</t>
  </si>
  <si>
    <t>13.2.2</t>
  </si>
  <si>
    <t>13.2.3</t>
  </si>
  <si>
    <t>13.2.4</t>
  </si>
  <si>
    <t>13.2.5</t>
  </si>
  <si>
    <t>Napofix E43-3080 Tela motorizada 4:3, 300x225cm, ou equivalente</t>
  </si>
  <si>
    <t>EPSON EB-L690SE Videoprojector, ou equivalente</t>
  </si>
  <si>
    <t>Napofix 340W Suporte de teto para videoprojetor, ou equivalente</t>
  </si>
  <si>
    <t>TIGHTAV SI-S311 Switch de apresentação wireless, ou equivalente</t>
  </si>
  <si>
    <t>HDMI2-M/M-FLEX-AOC-15 Cabo HDMI de fibra activo com 15 metros, ou equivalente</t>
  </si>
  <si>
    <t>TIGHTAV SI-DH Dongle para stream de video, ou equivalente</t>
  </si>
  <si>
    <r>
      <rPr>
        <b/>
        <sz val="10"/>
        <rFont val="Aptos Narrow"/>
        <family val="2"/>
        <scheme val="minor"/>
      </rPr>
      <t>Vídeo -</t>
    </r>
    <r>
      <rPr>
        <sz val="10"/>
        <rFont val="Aptos Narrow"/>
        <family val="2"/>
        <scheme val="minor"/>
      </rPr>
      <t xml:space="preserve"> Fornecimento e instalação dos seguintes equipamentos:</t>
    </r>
  </si>
  <si>
    <r>
      <rPr>
        <b/>
        <sz val="10"/>
        <rFont val="Aptos Narrow"/>
        <family val="2"/>
        <scheme val="minor"/>
      </rPr>
      <t>Sistema de Conferência/Microfonia -</t>
    </r>
    <r>
      <rPr>
        <sz val="10"/>
        <rFont val="Aptos Narrow"/>
        <family val="2"/>
        <scheme val="minor"/>
      </rPr>
      <t xml:space="preserve"> Fornecimento e instalação dos seguintes equipamentos:</t>
    </r>
  </si>
  <si>
    <t>13.2.6</t>
  </si>
  <si>
    <t>13.2.7</t>
  </si>
  <si>
    <t>13.2.8</t>
  </si>
  <si>
    <t>ATW-R1440 Receptor digital de microfone sem fios, ou equivalente</t>
  </si>
  <si>
    <t>ATW-T1402 Microfone de mão sem fios, ou equivalente</t>
  </si>
  <si>
    <t>ATW-T1401 Beltpack transmissor para micro sem fios, ou equivalente</t>
  </si>
  <si>
    <t>BP892xcW Microfone headset miniatura, ou equivalente</t>
  </si>
  <si>
    <t>ATW-T1407 Base para microfone gooseneck sem fios, ou equivalente</t>
  </si>
  <si>
    <t>PAA000A000E000-0 Sistema composto por receptor e microfone almofadado arremessável com logotipo do cliente, ou equivalente</t>
  </si>
  <si>
    <t>ATUCM43H Microfone gooseneck para base ATW-T1407, ou equivalente</t>
  </si>
  <si>
    <t>HH Q16FX Mesa de som com 10 entradas mono e 4 stereo, ou equivalente</t>
  </si>
  <si>
    <t>13.3.1</t>
  </si>
  <si>
    <t>13.3.2</t>
  </si>
  <si>
    <t>13.3.3</t>
  </si>
  <si>
    <t>13.3.4</t>
  </si>
  <si>
    <t>13.3.5</t>
  </si>
  <si>
    <r>
      <rPr>
        <b/>
        <sz val="10"/>
        <rFont val="Aptos Narrow"/>
        <family val="2"/>
        <scheme val="minor"/>
      </rPr>
      <t>Iluminação Palco -</t>
    </r>
    <r>
      <rPr>
        <sz val="10"/>
        <rFont val="Aptos Narrow"/>
        <family val="2"/>
        <scheme val="minor"/>
      </rPr>
      <t xml:space="preserve"> Fornecimento e instalação dos seguintes equipamentos:</t>
    </r>
  </si>
  <si>
    <t>13.3.6</t>
  </si>
  <si>
    <t>13.3.7</t>
  </si>
  <si>
    <t>13.3.8</t>
  </si>
  <si>
    <t>13.3.9</t>
  </si>
  <si>
    <t>13.3.10</t>
  </si>
  <si>
    <t>13.3.11</t>
  </si>
  <si>
    <r>
      <rPr>
        <b/>
        <sz val="10"/>
        <rFont val="Aptos Narrow"/>
        <family val="2"/>
        <scheme val="minor"/>
      </rPr>
      <t>Controlo -</t>
    </r>
    <r>
      <rPr>
        <sz val="10"/>
        <rFont val="Aptos Narrow"/>
        <family val="2"/>
        <scheme val="minor"/>
      </rPr>
      <t xml:space="preserve"> Fornecimento e instalação dos seguintes equipamentos:</t>
    </r>
  </si>
  <si>
    <t>13.4.1</t>
  </si>
  <si>
    <t>13.4.2</t>
  </si>
  <si>
    <t>13.4.3</t>
  </si>
  <si>
    <t>13.4.4</t>
  </si>
  <si>
    <t>13.4.5</t>
  </si>
  <si>
    <t>13.5.1</t>
  </si>
  <si>
    <t>13.5.2</t>
  </si>
  <si>
    <t>Bastidor, cabos e fichas necessários para ligações de todos os
equipamentos nos termos de boas práticas da especialidade</t>
  </si>
  <si>
    <t>Instalação e configuração do sistema de video, iluminação e audio e 
respetivos controlos</t>
  </si>
  <si>
    <t>CENTOLIGHT SCENIC 100W WW-CW Projector WW-CW para palco, ou equivalente</t>
  </si>
  <si>
    <t>CENTOLIGHT MOODLINER 1812WP Barra de iluminação RGB para traseira do palco, ou equivalente</t>
  </si>
  <si>
    <t>CHAMSYS QuickQ 10 Mesa de iluminação digital, ou equivalente</t>
  </si>
  <si>
    <t>CENTOLIGHT SCENESPLIT 4 PLUS Splitter DMX, ou equivalente</t>
  </si>
  <si>
    <t>Pro snake TPD-3 2 FM Cabo DMX com XLR de 3 pinos com 2 metros, ou equivalente</t>
  </si>
  <si>
    <t>CENTOLIGHT CL-XLR3DMX-1.5 Cabo DMX com XLR de 3 pinos com 1,5 metros, ou equivalente</t>
  </si>
  <si>
    <t>Pro snake TPD-3 5 FM Cabo DMX com XLR de 3 pinos com 5 metros, ou equivalente</t>
  </si>
  <si>
    <t>KGEAR GC6 Coluna de encastrar com 6,5'', ou equivalente</t>
  </si>
  <si>
    <t>KGEAR GA41 Amplificador digital com DSP de 4 canais de 150W, ou equivalente</t>
  </si>
  <si>
    <t>KGEAR G-RACK Acessório para acondicionar o amplificador em rack, ou equivalente</t>
  </si>
  <si>
    <t>Cabo de coluna 2x1,5mm, 40 metros, ou equivalente</t>
  </si>
  <si>
    <t>VISUAL PRODUTIONS DALICORE Controlador DALI, ou equivalente</t>
  </si>
  <si>
    <t>VISUAL PRODUTIONS RACKMOUNT C 
Acessório para acondicionar o DALICORE em rack, ou equivalente</t>
  </si>
  <si>
    <t>MW DLP-04R Fonte de alimentação DALI, ou equivalente</t>
  </si>
  <si>
    <t>VISUAL PRODUTIONS KIOSCTOUCH2 Ecrã tátil com layout costumizável, ou equivalente</t>
  </si>
  <si>
    <t>NETGEAR GS308EP Switch gerenciável POE com 8 portas, ou equivalente</t>
  </si>
  <si>
    <t>Acessórios e Configuração dos Sistemas</t>
  </si>
  <si>
    <t>1,rr</t>
  </si>
  <si>
    <t>Q.AVAC</t>
  </si>
  <si>
    <t>1.8.1.9</t>
  </si>
  <si>
    <t>1.8.1.10</t>
  </si>
  <si>
    <t>Q.P.REPROGRAFIA</t>
  </si>
  <si>
    <t>Q.UPS</t>
  </si>
  <si>
    <t>Q.FV.AC</t>
  </si>
  <si>
    <t>1.8.1.11</t>
  </si>
  <si>
    <t>1.8.1.12</t>
  </si>
  <si>
    <t>1.8.1.13</t>
  </si>
  <si>
    <t>1.8.1.14</t>
  </si>
  <si>
    <t>Q.P.BIB.ADULTOS</t>
  </si>
  <si>
    <t>Q.DESENF (Considerado no mapa de quantidades do projeto AVAC)</t>
  </si>
  <si>
    <t>Q.AVAC (Considerado no mapa de quantidades do projeto AVAC)</t>
  </si>
  <si>
    <t>XZ1(frt,zh) 5G10mm²</t>
  </si>
  <si>
    <t>XZ1(frt,zh) 5G6mm²</t>
  </si>
  <si>
    <t>XZ1(frs,zh) 5G4mm²</t>
  </si>
  <si>
    <t>XZ1(frs,zh) 5G2,5mm²</t>
  </si>
  <si>
    <t>XZ1(frs,zh) 3G2,5mm²</t>
  </si>
  <si>
    <t>SZ1(frt,zh) 5G2,5mm²</t>
  </si>
  <si>
    <t>Bobines Corte Geral</t>
  </si>
  <si>
    <t>VD/Erfe 32mm</t>
  </si>
  <si>
    <t>VD/Erfe 110mm</t>
  </si>
  <si>
    <t>VD/Erfe 50mm</t>
  </si>
  <si>
    <t>Elevador</t>
  </si>
  <si>
    <t>Fornecimento e montagem de Retentor electromagnético, montagem de chão ou parede, com braço metálica de 15cm, botão de desbloqueio.</t>
  </si>
  <si>
    <t>Fornecimento e montagem de bateria para Módulo de endereçamento, incluindo acessórios auxiliares para montagem de saliente.</t>
  </si>
  <si>
    <t>Botão de 1 Tecla (2 Funções) KNX (80040001+80141321+10116099)</t>
  </si>
  <si>
    <t>Botão de 2 Teclas (4 Funções) KNX (80040001+80142321+10116099)</t>
  </si>
  <si>
    <t>Botão de 4 Teclas (8 Funções) KNX (80040001+80144321+10116099)</t>
  </si>
  <si>
    <t>BUS</t>
  </si>
  <si>
    <t>Fornecimento e montagem de caixas de ligação/derivação 80x40x40mm de montagem de acordo com o IP regulamentar com a compartimentação,  ligadores rápidos e todos os acessórios inerentes á sua correta instalação.</t>
  </si>
  <si>
    <t>Piso -1</t>
  </si>
  <si>
    <t>Piso 0</t>
  </si>
  <si>
    <t>3*2P+T</t>
  </si>
  <si>
    <t>2*2p+T Vermelhas</t>
  </si>
  <si>
    <t>tost</t>
  </si>
  <si>
    <t>200x35[mm] Esteira metálica perfurada PG</t>
  </si>
  <si>
    <t>300x35[mm] Esteira metálica perfurada PG</t>
  </si>
  <si>
    <t>100x35[mm] Esteira metálica perfurada PG</t>
  </si>
  <si>
    <t>Fornecimento e montagem de caminhos de cabos em chapa perfurada, PG pré-galvanizado, incluindo suportes em consola /teto, do tipo Pemsaband One, ou equivalente. 
Inclui todos os acessórios de mudanças de direção, união de caminhos de cabos suportes de caixas de derivação e uniões para ligação equipotencial. Caminhos de cabos com as seguintes dimensões:</t>
  </si>
  <si>
    <t>FOTOVOLTAICO</t>
  </si>
  <si>
    <t>Fornecimento e instalação de módulos fotovoltaicos de 590Wp, modelo  TSM-NEG18C.20, da TRINA, ou equivalente.</t>
  </si>
  <si>
    <t>9.3</t>
  </si>
  <si>
    <t>Fornecimento e instalação de inversor do tipo Huawei SUN2000-20KTL - Inversor Trifásico, ou equivalente</t>
  </si>
  <si>
    <t>9.4</t>
  </si>
  <si>
    <t xml:space="preserve">vg </t>
  </si>
  <si>
    <t>9.5</t>
  </si>
  <si>
    <t>**** SunFer 29.1H</t>
  </si>
  <si>
    <t>9.6</t>
  </si>
  <si>
    <t>Fornecimento e instalação de quadro elétrico DC da instalação fotovoltaica, incluindo todos os acessórios necessários ao correto funcionamento da instalação.</t>
  </si>
  <si>
    <t>9.7</t>
  </si>
  <si>
    <t>Fornecimento e instalação de quadro elétrico AC da instalação fotovoltaica, incluindo todos os acessórios necessários ao correto funcionamento da instalação.</t>
  </si>
  <si>
    <t>Rede de Cablagem</t>
  </si>
  <si>
    <t>9.6.1</t>
  </si>
  <si>
    <r>
      <t xml:space="preserve">Fornecimento e instalação de condutor verde amarelo do tipo </t>
    </r>
    <r>
      <rPr>
        <sz val="10"/>
        <rFont val="Calibri"/>
        <family val="2"/>
      </rPr>
      <t xml:space="preserve">H07V-R 1G6mm², </t>
    </r>
    <r>
      <rPr>
        <sz val="10"/>
        <color theme="1"/>
        <rFont val="Calibri"/>
        <family val="2"/>
      </rPr>
      <t>incluindo clips de fixação que garantam a continuidade da ligação de terra.</t>
    </r>
  </si>
  <si>
    <t>9.6.2</t>
  </si>
  <si>
    <t>Cabo DC fléxivel 1x6mm² 0,6/1kV Solar (Vermelho) - H1Z2Z2-K</t>
  </si>
  <si>
    <t>9.6.3</t>
  </si>
  <si>
    <t>Cabo DC fléxivel 1x6mm² 0,6/1kV Solar (Preto) - H1Z2Z2-K</t>
  </si>
  <si>
    <t>9.6.4</t>
  </si>
  <si>
    <t>Rede de Tubagem e Caminho da cabos na cobertura</t>
  </si>
  <si>
    <t>9.7.1</t>
  </si>
  <si>
    <t>Tubo  VD Ø32mm</t>
  </si>
  <si>
    <t>9.7.2</t>
  </si>
  <si>
    <t>Tubo  VD Ø40mm</t>
  </si>
  <si>
    <t>Tubo  VD Ø50mm</t>
  </si>
  <si>
    <t>INSTALAÇÃO DE CARREGAMENTO DE VEÍCULOS ELÉTRICOS</t>
  </si>
  <si>
    <t>Capitulo novo</t>
  </si>
  <si>
    <t xml:space="preserve">Fornecimento e montagem de tubagem, enterrada, embebida em laje de betão no pavimento, em espera no local dos pedestais, de acordo com as peças desenhadas. </t>
  </si>
  <si>
    <t>PEAD Ø63mm</t>
  </si>
  <si>
    <t>Fornecimento e montagem de cabos enfiados em tubagem dos seguintes tipos, incluindo terminais e execução das ligações:</t>
  </si>
  <si>
    <t>Acessoria técnica, programação, colocação em serviço e Formação</t>
  </si>
  <si>
    <t>Fornecimento e instalação de Pedestal para instalação de dois carregadores de Veículos Elétricos, incluindo execução de maciço com chegada da tubagem do Q.E.G..</t>
  </si>
  <si>
    <r>
      <t xml:space="preserve">Fornecimento e montagem de estrutura de fixação em alumínio anodizado para cobertura plana, modelo </t>
    </r>
    <r>
      <rPr>
        <b/>
        <sz val="10"/>
        <rFont val="Aptos Narrow"/>
        <family val="2"/>
        <scheme val="minor"/>
      </rPr>
      <t>29.1H</t>
    </r>
    <r>
      <rPr>
        <sz val="10"/>
        <rFont val="Aptos Narrow"/>
        <family val="2"/>
        <scheme val="minor"/>
      </rPr>
      <t xml:space="preserve"> e todos os acessórios necessários, da SUNFER, ou equivalente.</t>
    </r>
  </si>
  <si>
    <t>Fornecimento e instalação de conectores MC4 simples (Macho/Fêmea)</t>
  </si>
  <si>
    <t>DALI</t>
  </si>
  <si>
    <t>Fornecimento e instalação de separador para caminho de cabos 100x60[mm], a partilhar com a instalação ITED</t>
  </si>
  <si>
    <t>RETIFICAR QUANTIDADES E TIPOS!!!!</t>
  </si>
  <si>
    <t>9.8</t>
  </si>
  <si>
    <r>
      <t xml:space="preserve">Instalação de sistema de </t>
    </r>
    <r>
      <rPr>
        <u/>
        <sz val="10"/>
        <rFont val="Aptos Narrow"/>
        <family val="2"/>
        <scheme val="minor"/>
      </rPr>
      <t>monitorização da produção e consumo</t>
    </r>
    <r>
      <rPr>
        <sz val="10"/>
        <rFont val="Aptos Narrow"/>
        <family val="2"/>
        <scheme val="minor"/>
      </rPr>
      <t xml:space="preserve"> da instalação fotovoltaica, DTSU666-HW, ou equivalente, com plataforma de acesso gratuita, incluindo todos os acessórios necessários ao correto funcionamento da instalação.</t>
    </r>
  </si>
  <si>
    <t xml:space="preserve">Fornecimento e instalação de contador de energia, Honeywell AS3000 de leitura direta, com modem GSM, ou equivalente, incluindo cartão SIM para o cliente, e todos os acessórios necessários ao correto funcionamento da instalação. </t>
  </si>
  <si>
    <t>RV-K 3G10mm²</t>
  </si>
  <si>
    <t>XZ1(frt,zh) 5G10mm² (inversor - quadro AC)</t>
  </si>
  <si>
    <t>Q.P.UPS.P-1</t>
  </si>
  <si>
    <t>1.8.1.15</t>
  </si>
  <si>
    <t>1.8.1.16</t>
  </si>
  <si>
    <t>Q.P.EXTERIOR (CVE)</t>
  </si>
  <si>
    <t>DM - 360 EE805</t>
  </si>
  <si>
    <t>11.4.2</t>
  </si>
  <si>
    <t>RETIFICAR QTDs e TIPOS!!!!</t>
  </si>
  <si>
    <t>Iluminação de segurança</t>
  </si>
  <si>
    <t>11.4.3.1</t>
  </si>
  <si>
    <t>11.4.3.2</t>
  </si>
  <si>
    <t>L2 - Luminária tipo régua Suspensa, 1970mm, DALI</t>
  </si>
  <si>
    <t>L6 - Luminária circular de encastrar Ø965mm, DALI</t>
  </si>
  <si>
    <t>L10 - Luminária tipo régua de encastrar, 2880mm, DALI</t>
  </si>
  <si>
    <t>L5.1 - Luminária tipo régua de encastrar, 570mm, ON/OFF</t>
  </si>
  <si>
    <t>L5.1 - Luminária tipo régua de encastrar, 1300mm, ON/OFF</t>
  </si>
  <si>
    <t>L5.2 - Luminária tipo régua de encastrar, 970mm, ON/OFF</t>
  </si>
  <si>
    <t>Fornecimento e montagem de aparelhos de iluminação, incluindo acessórios de fixação, suspensão, caixas de encastramento, derivação ou repicagem, de acordo com as especificações técnicas das peças escritas e desenhadas. (Confirmar com peças desenhadas e CTE)</t>
  </si>
  <si>
    <t>Fornecimento e montagem de selante corta fogo instalado nas zonas indicadas nas peças desenhadas e de acordo com as peças escritas da sistema SADI, selante composto por espuma de poliuretano expansiva monocomponente SIKA BOOM-400 FIRE, aplicado de forma a que seja possível garantir e visualizar uma correta selagem das compartimentações corta fogo.</t>
  </si>
  <si>
    <t>Fornecimento e instalação de Carregador de Veículos Elétricos, monofásico, com potência máxima de 7,4kW, da MOREK, de acordo com as características indicadas nas peças escritas, ou equivalente, incluindo cartões RFID e todos os acessórios necessários ao bom funcionamento dos equipamentos, conectividade e controlo de utilização.</t>
  </si>
  <si>
    <t>11.4.4.1</t>
  </si>
  <si>
    <t>Iluminação Exterior</t>
  </si>
  <si>
    <t>Alteração da ligação de alimentação elétrica e remoção de luminária e coluna de iluminação existente junto ao edifício da biblioteca. Deve ser aferido no local o traçado de chegada e passagem de energia entre colunas de iluminação. Deverão ser feitas as alterações necessárias de modo a garantir o funcionamento das restantes colunas de iluminação.</t>
  </si>
  <si>
    <t>L4.1 - Luminária tipo paine de encastrar 595x595mm, ON/OFF</t>
  </si>
  <si>
    <t>piso -1</t>
  </si>
  <si>
    <t>DP - TXD503 KNX/DALI</t>
  </si>
  <si>
    <t>x</t>
  </si>
  <si>
    <t>tomadas  2P+T tipo Schuko 16A, Estanque IP55,  com alveolos protegidos, para instalação embebida na parede exterior</t>
  </si>
  <si>
    <t>BUS DALI_ 2x1 mm²</t>
  </si>
  <si>
    <t>BUS KNX_IY(ST)Y 2x2x0,8mm² na cor verde</t>
  </si>
  <si>
    <t>1.1.2.1</t>
  </si>
  <si>
    <t>1.1.2.2</t>
  </si>
  <si>
    <t>400x35[mm] Esteira metálica perfurada PG</t>
  </si>
  <si>
    <t>1.2.1.8</t>
  </si>
  <si>
    <t>1.2.1.9</t>
  </si>
  <si>
    <t>1.2.1.10</t>
  </si>
  <si>
    <t>1.2.1.11</t>
  </si>
  <si>
    <t>XZ1(frt,zh) 5G35mm²</t>
  </si>
  <si>
    <t>XZ1(frt,zh) 5G25mm²</t>
  </si>
  <si>
    <t>Alim CDI etc</t>
  </si>
  <si>
    <t>TYA610C (Atuador ON/OFF 10canais), ou equivalente.</t>
  </si>
  <si>
    <t>TYFS110 (Fonte de Alimentação 1280mA), ou equivalente.</t>
  </si>
  <si>
    <t>Fornecimento e instalação de sonda crepuscular a instalar no exterior, EEN003 da HAGER ou equivalente, para controlo da iluminação exterior, incluindo cablagem, tubagem e todos os acessórios necessários à sua instalação de acordo com as peças desenhadas.</t>
  </si>
  <si>
    <t>XZ1(frs,zh) 3G10mm²</t>
  </si>
  <si>
    <t>CVE + Ups</t>
  </si>
  <si>
    <t>XZ1(frt,zh) 4x1x70mm²+1G35mm²</t>
  </si>
  <si>
    <t>1.8.2</t>
  </si>
  <si>
    <t>Diversos</t>
  </si>
  <si>
    <t>Abertura e tapamento de roços para instalação de novos quadros de maiores dimensões, incluindo remoção de entulho para vazadouro.</t>
  </si>
  <si>
    <t>XAV 4(1x185)mm²</t>
  </si>
  <si>
    <t>Verificar preço cabo unipolar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</si>
</sst>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.00_ ;[Red]\-#,##0.00\ "/>
  </numFmts>
  <fonts count="21" x14ac:knownFonts="1">
    <font>
      <sz val="11"/>
      <color theme="1"/>
      <name val="Calibri"/>
      <family val="2"/>
    </font>
    <font>
      <sz val="10"/>
      <name val="Arial"/>
      <family val="2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ptos Narrow"/>
      <family val="2"/>
      <scheme val="minor"/>
    </font>
    <font>
      <sz val="9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Calibri"/>
      <family val="2"/>
    </font>
    <font>
      <u/>
      <sz val="10"/>
      <name val="Aptos Narrow"/>
      <family val="2"/>
      <scheme val="minor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"/>
      <color rgb="FFC0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4" fontId="10" fillId="0" borderId="6">
      <alignment horizontal="center" wrapText="1"/>
    </xf>
    <xf numFmtId="0" fontId="1" fillId="0" borderId="0"/>
  </cellStyleXfs>
  <cellXfs count="64">
    <xf numFmtId="0" fontId="0" fillId="0" borderId="0" xfId="0"/>
    <xf numFmtId="0" fontId="2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165" fontId="7" fillId="0" borderId="7" xfId="5" applyNumberFormat="1" applyFont="1" applyBorder="1" applyAlignment="1" applyProtection="1">
      <alignment horizontal="center"/>
      <protection hidden="1"/>
    </xf>
    <xf numFmtId="165" fontId="7" fillId="0" borderId="8" xfId="5" applyNumberFormat="1" applyFont="1" applyBorder="1" applyAlignment="1" applyProtection="1">
      <alignment horizontal="center"/>
      <protection hidden="1"/>
    </xf>
    <xf numFmtId="164" fontId="7" fillId="0" borderId="9" xfId="1" applyNumberFormat="1" applyFont="1" applyBorder="1" applyAlignment="1">
      <alignment horizontal="center" wrapText="1"/>
    </xf>
    <xf numFmtId="0" fontId="15" fillId="0" borderId="0" xfId="0" applyFont="1"/>
    <xf numFmtId="14" fontId="6" fillId="0" borderId="0" xfId="1" applyNumberFormat="1" applyFont="1" applyAlignment="1">
      <alignment horizontal="left"/>
    </xf>
    <xf numFmtId="0" fontId="9" fillId="2" borderId="11" xfId="2" applyFont="1" applyFill="1" applyBorder="1" applyAlignment="1" applyProtection="1">
      <alignment horizontal="center"/>
      <protection hidden="1"/>
    </xf>
    <xf numFmtId="0" fontId="9" fillId="2" borderId="12" xfId="2" applyFont="1" applyFill="1" applyBorder="1" applyAlignment="1" applyProtection="1">
      <alignment horizontal="center"/>
      <protection hidden="1"/>
    </xf>
    <xf numFmtId="164" fontId="9" fillId="2" borderId="12" xfId="2" applyNumberFormat="1" applyFont="1" applyFill="1" applyBorder="1" applyAlignment="1" applyProtection="1">
      <alignment horizontal="center"/>
      <protection hidden="1"/>
    </xf>
    <xf numFmtId="164" fontId="9" fillId="2" borderId="13" xfId="2" applyNumberFormat="1" applyFont="1" applyFill="1" applyBorder="1" applyAlignment="1" applyProtection="1">
      <alignment horizontal="center"/>
      <protection hidden="1"/>
    </xf>
    <xf numFmtId="0" fontId="11" fillId="0" borderId="18" xfId="1" applyFont="1" applyBorder="1" applyAlignment="1" applyProtection="1">
      <alignment horizontal="center"/>
      <protection hidden="1"/>
    </xf>
    <xf numFmtId="0" fontId="11" fillId="0" borderId="19" xfId="1" applyFont="1" applyBorder="1" applyAlignment="1" applyProtection="1">
      <alignment horizontal="center"/>
      <protection hidden="1"/>
    </xf>
    <xf numFmtId="164" fontId="12" fillId="2" borderId="19" xfId="1" applyNumberFormat="1" applyFont="1" applyFill="1" applyBorder="1" applyAlignment="1" applyProtection="1">
      <alignment horizontal="center"/>
      <protection hidden="1"/>
    </xf>
    <xf numFmtId="164" fontId="12" fillId="2" borderId="3" xfId="1" applyNumberFormat="1" applyFont="1" applyFill="1" applyBorder="1" applyAlignment="1" applyProtection="1">
      <alignment horizontal="center"/>
      <protection hidden="1"/>
    </xf>
    <xf numFmtId="164" fontId="12" fillId="2" borderId="20" xfId="1" applyNumberFormat="1" applyFont="1" applyFill="1" applyBorder="1" applyAlignment="1" applyProtection="1">
      <alignment horizontal="center"/>
      <protection hidden="1"/>
    </xf>
    <xf numFmtId="0" fontId="7" fillId="0" borderId="21" xfId="3" applyFont="1" applyBorder="1" applyAlignment="1">
      <alignment horizontal="left" wrapText="1"/>
    </xf>
    <xf numFmtId="0" fontId="7" fillId="0" borderId="1" xfId="3" applyFont="1" applyBorder="1" applyAlignment="1">
      <alignment horizontal="left" wrapText="1"/>
    </xf>
    <xf numFmtId="0" fontId="7" fillId="0" borderId="1" xfId="3" applyFont="1" applyBorder="1" applyAlignment="1">
      <alignment horizontal="center" wrapText="1"/>
    </xf>
    <xf numFmtId="2" fontId="7" fillId="0" borderId="1" xfId="4" applyNumberFormat="1" applyFont="1" applyBorder="1">
      <alignment horizontal="center" wrapText="1"/>
    </xf>
    <xf numFmtId="164" fontId="11" fillId="0" borderId="1" xfId="3" applyNumberFormat="1" applyFont="1" applyBorder="1" applyAlignment="1">
      <alignment horizontal="center" wrapText="1"/>
    </xf>
    <xf numFmtId="165" fontId="7" fillId="0" borderId="1" xfId="5" applyNumberFormat="1" applyFont="1" applyBorder="1" applyAlignment="1" applyProtection="1">
      <alignment horizontal="center"/>
      <protection hidden="1"/>
    </xf>
    <xf numFmtId="0" fontId="9" fillId="3" borderId="22" xfId="5" applyFont="1" applyFill="1" applyBorder="1" applyAlignment="1" applyProtection="1">
      <alignment horizontal="left" wrapText="1"/>
      <protection hidden="1"/>
    </xf>
    <xf numFmtId="165" fontId="9" fillId="3" borderId="23" xfId="5" applyNumberFormat="1" applyFont="1" applyFill="1" applyBorder="1" applyAlignment="1" applyProtection="1">
      <alignment horizontal="left" wrapText="1"/>
      <protection hidden="1"/>
    </xf>
    <xf numFmtId="165" fontId="7" fillId="3" borderId="23" xfId="5" applyNumberFormat="1" applyFont="1" applyFill="1" applyBorder="1" applyAlignment="1" applyProtection="1">
      <alignment horizontal="center" wrapText="1"/>
      <protection hidden="1"/>
    </xf>
    <xf numFmtId="165" fontId="7" fillId="3" borderId="23" xfId="5" applyNumberFormat="1" applyFont="1" applyFill="1" applyBorder="1" applyAlignment="1" applyProtection="1">
      <alignment horizontal="center"/>
      <protection hidden="1"/>
    </xf>
    <xf numFmtId="164" fontId="7" fillId="3" borderId="23" xfId="1" applyNumberFormat="1" applyFont="1" applyFill="1" applyBorder="1" applyAlignment="1">
      <alignment horizontal="center" wrapText="1"/>
    </xf>
    <xf numFmtId="165" fontId="7" fillId="0" borderId="22" xfId="5" applyNumberFormat="1" applyFont="1" applyBorder="1" applyAlignment="1" applyProtection="1">
      <alignment horizontal="left" wrapText="1"/>
      <protection hidden="1"/>
    </xf>
    <xf numFmtId="165" fontId="7" fillId="0" borderId="23" xfId="5" applyNumberFormat="1" applyFont="1" applyBorder="1" applyAlignment="1" applyProtection="1">
      <alignment horizontal="left" wrapText="1"/>
      <protection hidden="1"/>
    </xf>
    <xf numFmtId="165" fontId="7" fillId="0" borderId="23" xfId="5" applyNumberFormat="1" applyFont="1" applyBorder="1" applyAlignment="1" applyProtection="1">
      <alignment horizontal="center" wrapText="1"/>
      <protection hidden="1"/>
    </xf>
    <xf numFmtId="165" fontId="7" fillId="0" borderId="23" xfId="5" applyNumberFormat="1" applyFont="1" applyBorder="1" applyAlignment="1" applyProtection="1">
      <alignment horizontal="center"/>
      <protection hidden="1"/>
    </xf>
    <xf numFmtId="164" fontId="7" fillId="0" borderId="23" xfId="1" applyNumberFormat="1" applyFont="1" applyBorder="1" applyAlignment="1">
      <alignment horizontal="center" wrapText="1"/>
    </xf>
    <xf numFmtId="165" fontId="9" fillId="0" borderId="22" xfId="5" applyNumberFormat="1" applyFont="1" applyBorder="1" applyAlignment="1" applyProtection="1">
      <alignment horizontal="left" wrapText="1"/>
      <protection hidden="1"/>
    </xf>
    <xf numFmtId="165" fontId="9" fillId="0" borderId="23" xfId="5" applyNumberFormat="1" applyFont="1" applyBorder="1" applyAlignment="1" applyProtection="1">
      <alignment horizontal="left" wrapText="1"/>
      <protection hidden="1"/>
    </xf>
    <xf numFmtId="165" fontId="7" fillId="0" borderId="2" xfId="5" applyNumberFormat="1" applyFont="1" applyBorder="1" applyAlignment="1" applyProtection="1">
      <alignment horizontal="left" wrapText="1"/>
      <protection hidden="1"/>
    </xf>
    <xf numFmtId="165" fontId="7" fillId="0" borderId="4" xfId="5" applyNumberFormat="1" applyFont="1" applyBorder="1" applyAlignment="1" applyProtection="1">
      <alignment horizontal="left" wrapText="1"/>
      <protection hidden="1"/>
    </xf>
    <xf numFmtId="165" fontId="7" fillId="0" borderId="4" xfId="5" applyNumberFormat="1" applyFont="1" applyBorder="1" applyAlignment="1" applyProtection="1">
      <alignment horizontal="center" wrapText="1"/>
      <protection hidden="1"/>
    </xf>
    <xf numFmtId="165" fontId="7" fillId="0" borderId="4" xfId="5" applyNumberFormat="1" applyFont="1" applyBorder="1" applyAlignment="1" applyProtection="1">
      <alignment horizontal="center"/>
      <protection hidden="1"/>
    </xf>
    <xf numFmtId="164" fontId="7" fillId="0" borderId="4" xfId="1" applyNumberFormat="1" applyFont="1" applyBorder="1" applyAlignment="1">
      <alignment horizontal="center" wrapText="1"/>
    </xf>
    <xf numFmtId="164" fontId="7" fillId="0" borderId="5" xfId="1" applyNumberFormat="1" applyFont="1" applyBorder="1" applyAlignment="1">
      <alignment horizontal="center" wrapText="1"/>
    </xf>
    <xf numFmtId="164" fontId="9" fillId="3" borderId="9" xfId="1" applyNumberFormat="1" applyFont="1" applyFill="1" applyBorder="1" applyAlignment="1">
      <alignment horizontal="center" wrapText="1"/>
    </xf>
    <xf numFmtId="165" fontId="7" fillId="4" borderId="23" xfId="5" applyNumberFormat="1" applyFont="1" applyFill="1" applyBorder="1" applyAlignment="1" applyProtection="1">
      <alignment horizontal="center"/>
      <protection hidden="1"/>
    </xf>
    <xf numFmtId="164" fontId="7" fillId="4" borderId="23" xfId="1" applyNumberFormat="1" applyFont="1" applyFill="1" applyBorder="1" applyAlignment="1">
      <alignment horizontal="center" wrapText="1"/>
    </xf>
    <xf numFmtId="0" fontId="17" fillId="0" borderId="0" xfId="0" applyFont="1"/>
    <xf numFmtId="165" fontId="7" fillId="2" borderId="23" xfId="5" applyNumberFormat="1" applyFont="1" applyFill="1" applyBorder="1" applyAlignment="1" applyProtection="1">
      <alignment horizontal="left" wrapText="1"/>
      <protection hidden="1"/>
    </xf>
    <xf numFmtId="165" fontId="7" fillId="2" borderId="23" xfId="5" applyNumberFormat="1" applyFont="1" applyFill="1" applyBorder="1" applyAlignment="1" applyProtection="1">
      <alignment horizontal="center" wrapText="1"/>
      <protection hidden="1"/>
    </xf>
    <xf numFmtId="165" fontId="7" fillId="2" borderId="23" xfId="5" applyNumberFormat="1" applyFont="1" applyFill="1" applyBorder="1" applyAlignment="1" applyProtection="1">
      <alignment horizontal="center"/>
      <protection hidden="1"/>
    </xf>
    <xf numFmtId="164" fontId="7" fillId="2" borderId="23" xfId="1" applyNumberFormat="1" applyFont="1" applyFill="1" applyBorder="1" applyAlignment="1">
      <alignment horizontal="center" wrapText="1"/>
    </xf>
    <xf numFmtId="0" fontId="16" fillId="0" borderId="0" xfId="0" applyFont="1" applyAlignment="1">
      <alignment horizontal="left"/>
    </xf>
    <xf numFmtId="0" fontId="18" fillId="0" borderId="0" xfId="0" applyFont="1" applyAlignment="1">
      <alignment wrapText="1"/>
    </xf>
    <xf numFmtId="0" fontId="16" fillId="0" borderId="0" xfId="0" applyFont="1"/>
    <xf numFmtId="0" fontId="19" fillId="0" borderId="0" xfId="0" applyFont="1" applyAlignment="1">
      <alignment wrapText="1"/>
    </xf>
    <xf numFmtId="0" fontId="20" fillId="0" borderId="0" xfId="0" applyFont="1"/>
    <xf numFmtId="0" fontId="9" fillId="2" borderId="10" xfId="2" applyFont="1" applyFill="1" applyBorder="1" applyAlignment="1" applyProtection="1">
      <alignment horizontal="center"/>
      <protection hidden="1"/>
    </xf>
    <xf numFmtId="0" fontId="9" fillId="2" borderId="14" xfId="2" applyFont="1" applyFill="1" applyBorder="1" applyAlignment="1" applyProtection="1">
      <alignment horizontal="center" vertical="center" wrapText="1"/>
      <protection hidden="1"/>
    </xf>
    <xf numFmtId="0" fontId="9" fillId="2" borderId="15" xfId="2" applyFont="1" applyFill="1" applyBorder="1" applyAlignment="1" applyProtection="1">
      <alignment horizontal="center" vertical="center" wrapText="1"/>
      <protection hidden="1"/>
    </xf>
    <xf numFmtId="0" fontId="9" fillId="2" borderId="16" xfId="2" applyFont="1" applyFill="1" applyBorder="1" applyAlignment="1" applyProtection="1">
      <alignment horizontal="center" vertical="center" wrapText="1"/>
      <protection hidden="1"/>
    </xf>
    <xf numFmtId="0" fontId="9" fillId="2" borderId="17" xfId="2" applyFont="1" applyFill="1" applyBorder="1" applyAlignment="1" applyProtection="1">
      <alignment horizontal="center" vertical="center" wrapText="1"/>
      <protection hidden="1"/>
    </xf>
  </cellXfs>
  <cellStyles count="6">
    <cellStyle name="__unidade e subtotais" xfId="4" xr:uid="{A1B42810-1D93-4A4A-A3A9-17DFCA0E2685}"/>
    <cellStyle name="Normal" xfId="0" builtinId="0"/>
    <cellStyle name="Normal 2" xfId="3" xr:uid="{0F56436F-8FBE-4A60-8814-1A3350557DBD}"/>
    <cellStyle name="Normal 3" xfId="1" xr:uid="{36FD439A-A586-4327-A1CD-3F5507EFBA1E}"/>
    <cellStyle name="Normal_ICA 04 Mapa Comparativo_1" xfId="5" xr:uid="{F126E3DF-6826-4981-8523-CE081F2269D0}"/>
    <cellStyle name="Normal_Mapa de controlo clac" xfId="2" xr:uid="{1BF8AA15-5B9D-4575-B51F-5CA8CEEE39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238124</xdr:colOff>
      <xdr:row>2</xdr:row>
      <xdr:rowOff>164306</xdr:rowOff>
    </xdr:from>
    <xdr:to>
      <xdr:col>6</xdr:col>
      <xdr:colOff>590443</xdr:colOff>
      <xdr:row>5</xdr:row>
      <xdr:rowOff>153503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B96DDBDA-BAA0-4B77-8909-0A4DE55D1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49" y="621506"/>
          <a:ext cx="1032404" cy="5606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6BDB-DC15-4A39-80BC-DD2D1C698644}">
  <dimension ref="B1:J257"/>
  <sheetViews>
    <sheetView tabSelected="1" view="pageBreakPreview" topLeftCell="A242" zoomScaleNormal="100" zoomScaleSheetLayoutView="100" workbookViewId="0">
      <selection activeCell="C246" sqref="C246"/>
    </sheetView>
  </sheetViews>
  <sheetFormatPr defaultRowHeight="14.4" x14ac:dyDescent="0.3"/>
  <cols>
    <col min="1" max="1" width="2" customWidth="1"/>
    <col min="2" max="2" width="12.88671875" customWidth="1"/>
    <col min="3" max="3" width="57.88671875" customWidth="1"/>
    <col min="4" max="4" width="5.109375" bestFit="1" customWidth="1"/>
    <col min="5" max="5" width="10.5546875" customWidth="1"/>
    <col min="6" max="6" width="10" bestFit="1" customWidth="1"/>
    <col min="7" max="7" width="12.33203125" bestFit="1" customWidth="1"/>
    <col min="8" max="8" width="12.33203125" customWidth="1"/>
    <col min="9" max="9" width="17.88671875" style="11" customWidth="1"/>
    <col min="10" max="10" width="39.6640625" customWidth="1"/>
  </cols>
  <sheetData>
    <row r="1" spans="2:8" ht="21" x14ac:dyDescent="0.4">
      <c r="B1" s="1" t="s">
        <v>84</v>
      </c>
      <c r="C1" s="2"/>
      <c r="D1" s="3"/>
      <c r="E1" s="3"/>
      <c r="F1" s="3"/>
      <c r="G1" s="3"/>
      <c r="H1" s="3"/>
    </row>
    <row r="2" spans="2:8" x14ac:dyDescent="0.3">
      <c r="B2" s="4" t="s">
        <v>0</v>
      </c>
      <c r="C2" s="5" t="s">
        <v>110</v>
      </c>
      <c r="D2" s="6"/>
      <c r="E2" s="6"/>
      <c r="F2" s="6"/>
      <c r="G2" s="6"/>
      <c r="H2" s="6"/>
    </row>
    <row r="3" spans="2:8" x14ac:dyDescent="0.3">
      <c r="B3" s="5" t="s">
        <v>1</v>
      </c>
      <c r="C3" s="5"/>
      <c r="D3" s="6"/>
      <c r="E3" s="6"/>
      <c r="F3" s="6"/>
      <c r="G3" s="6"/>
      <c r="H3" s="6"/>
    </row>
    <row r="4" spans="2:8" x14ac:dyDescent="0.3">
      <c r="B4" s="5" t="s">
        <v>2</v>
      </c>
      <c r="C4" s="5" t="s">
        <v>111</v>
      </c>
      <c r="D4" s="6"/>
      <c r="E4" s="6"/>
      <c r="F4" s="6"/>
      <c r="G4" s="6"/>
      <c r="H4" s="6"/>
    </row>
    <row r="5" spans="2:8" x14ac:dyDescent="0.3">
      <c r="B5" s="5" t="s">
        <v>3</v>
      </c>
      <c r="C5" s="5"/>
      <c r="D5" s="6"/>
      <c r="E5" s="6"/>
      <c r="F5" s="6"/>
      <c r="G5" s="6"/>
      <c r="H5" s="6"/>
    </row>
    <row r="6" spans="2:8" x14ac:dyDescent="0.3">
      <c r="B6" s="5" t="s">
        <v>112</v>
      </c>
      <c r="C6" s="12">
        <v>46010</v>
      </c>
      <c r="D6" s="6"/>
      <c r="E6" s="7"/>
      <c r="F6" s="6"/>
      <c r="G6" s="6"/>
      <c r="H6" s="6"/>
    </row>
    <row r="8" spans="2:8" ht="15" thickBot="1" x14ac:dyDescent="0.35"/>
    <row r="9" spans="2:8" x14ac:dyDescent="0.3">
      <c r="B9" s="62" t="s">
        <v>4</v>
      </c>
      <c r="C9" s="60" t="s">
        <v>5</v>
      </c>
      <c r="D9" s="60" t="s">
        <v>6</v>
      </c>
      <c r="E9" s="59" t="s">
        <v>7</v>
      </c>
      <c r="F9" s="59"/>
      <c r="G9" s="59"/>
      <c r="H9" s="13"/>
    </row>
    <row r="10" spans="2:8" ht="15" thickBot="1" x14ac:dyDescent="0.35">
      <c r="B10" s="63"/>
      <c r="C10" s="61"/>
      <c r="D10" s="61"/>
      <c r="E10" s="14" t="s">
        <v>8</v>
      </c>
      <c r="F10" s="14" t="s">
        <v>9</v>
      </c>
      <c r="G10" s="15" t="s">
        <v>10</v>
      </c>
      <c r="H10" s="16" t="s">
        <v>191</v>
      </c>
    </row>
    <row r="11" spans="2:8" x14ac:dyDescent="0.3">
      <c r="B11" s="22"/>
      <c r="C11" s="23"/>
      <c r="D11" s="24"/>
      <c r="E11" s="25"/>
      <c r="F11" s="26" t="s">
        <v>11</v>
      </c>
      <c r="G11" s="27"/>
      <c r="H11" s="8"/>
    </row>
    <row r="12" spans="2:8" x14ac:dyDescent="0.3">
      <c r="B12" s="28">
        <v>1</v>
      </c>
      <c r="C12" s="29" t="s">
        <v>18</v>
      </c>
      <c r="D12" s="30"/>
      <c r="E12" s="31"/>
      <c r="F12" s="31" t="s">
        <v>11</v>
      </c>
      <c r="G12" s="32" t="str">
        <f>IF(E12="","",IF(F12="","",ROUND(E12*F12,2)))</f>
        <v/>
      </c>
      <c r="H12" s="46">
        <f>SUM(G13:G164)</f>
        <v>206817.99000000002</v>
      </c>
    </row>
    <row r="13" spans="2:8" x14ac:dyDescent="0.3">
      <c r="B13" s="33" t="s">
        <v>179</v>
      </c>
      <c r="C13" s="34" t="s">
        <v>21</v>
      </c>
      <c r="D13" s="35"/>
      <c r="E13" s="47"/>
      <c r="F13" s="36" t="s">
        <v>11</v>
      </c>
      <c r="G13" s="37" t="str">
        <f t="shared" ref="G13:G50" si="0">IF(E13="","",IF(F13="","",ROUND(E13*F13,2)))</f>
        <v/>
      </c>
      <c r="H13" s="10"/>
    </row>
    <row r="14" spans="2:8" ht="69" x14ac:dyDescent="0.3">
      <c r="B14" s="33" t="s">
        <v>172</v>
      </c>
      <c r="C14" s="34" t="s">
        <v>22</v>
      </c>
      <c r="D14" s="35"/>
      <c r="E14" s="47"/>
      <c r="F14" s="36" t="s">
        <v>11</v>
      </c>
      <c r="G14" s="37" t="str">
        <f t="shared" si="0"/>
        <v/>
      </c>
      <c r="H14" s="10"/>
    </row>
    <row r="15" spans="2:8" x14ac:dyDescent="0.3">
      <c r="B15" s="33" t="s">
        <v>173</v>
      </c>
      <c r="C15" s="34" t="s">
        <v>343</v>
      </c>
      <c r="D15" s="35" t="s">
        <v>16</v>
      </c>
      <c r="E15" s="36">
        <v>46</v>
      </c>
      <c r="F15" s="36">
        <v>2.5499999999999998</v>
      </c>
      <c r="G15" s="37">
        <f t="shared" si="0"/>
        <v>117.3</v>
      </c>
      <c r="H15" s="10"/>
    </row>
    <row r="16" spans="2:8" x14ac:dyDescent="0.3">
      <c r="B16" s="33" t="s">
        <v>174</v>
      </c>
      <c r="C16" s="34" t="s">
        <v>345</v>
      </c>
      <c r="D16" s="35" t="s">
        <v>16</v>
      </c>
      <c r="E16" s="36">
        <v>22</v>
      </c>
      <c r="F16" s="36">
        <v>3.15</v>
      </c>
      <c r="G16" s="37">
        <f t="shared" si="0"/>
        <v>69.3</v>
      </c>
      <c r="H16" s="10"/>
    </row>
    <row r="17" spans="2:10" x14ac:dyDescent="0.3">
      <c r="B17" s="33" t="s">
        <v>175</v>
      </c>
      <c r="C17" s="34" t="s">
        <v>344</v>
      </c>
      <c r="D17" s="35" t="s">
        <v>16</v>
      </c>
      <c r="E17" s="36">
        <v>60</v>
      </c>
      <c r="F17" s="36">
        <v>4.7</v>
      </c>
      <c r="G17" s="37">
        <f t="shared" si="0"/>
        <v>282</v>
      </c>
      <c r="H17" s="10"/>
    </row>
    <row r="18" spans="2:10" ht="86.25" customHeight="1" x14ac:dyDescent="0.3">
      <c r="B18" s="33" t="s">
        <v>176</v>
      </c>
      <c r="C18" s="34" t="s">
        <v>362</v>
      </c>
      <c r="D18" s="35"/>
      <c r="E18" s="47"/>
      <c r="F18" s="36" t="s">
        <v>11</v>
      </c>
      <c r="G18" s="37" t="str">
        <f t="shared" si="0"/>
        <v/>
      </c>
      <c r="H18" s="10"/>
    </row>
    <row r="19" spans="2:10" x14ac:dyDescent="0.3">
      <c r="B19" s="33" t="s">
        <v>435</v>
      </c>
      <c r="C19" s="34" t="s">
        <v>437</v>
      </c>
      <c r="D19" s="35" t="s">
        <v>16</v>
      </c>
      <c r="E19" s="47">
        <v>54</v>
      </c>
      <c r="F19" s="36">
        <v>27.8</v>
      </c>
      <c r="G19" s="37">
        <f>IF(E19="","",IF(F19="","",ROUND(E19*F19,2)))</f>
        <v>1501.2</v>
      </c>
      <c r="H19" s="10"/>
      <c r="I19" s="11">
        <f>6+8+24+5+10+3+2+11+18+3</f>
        <v>90</v>
      </c>
    </row>
    <row r="20" spans="2:10" x14ac:dyDescent="0.3">
      <c r="B20" s="33" t="s">
        <v>436</v>
      </c>
      <c r="C20" s="34" t="s">
        <v>360</v>
      </c>
      <c r="D20" s="35" t="s">
        <v>16</v>
      </c>
      <c r="E20" s="47">
        <v>32</v>
      </c>
      <c r="F20" s="36">
        <v>23.7</v>
      </c>
      <c r="G20" s="37">
        <f>IF(E20="","",IF(F20="","",ROUND(E20*F20,2)))</f>
        <v>758.4</v>
      </c>
      <c r="H20" s="10"/>
      <c r="I20" s="11">
        <f>6+8+24+5+10+3+2+11+18+3</f>
        <v>90</v>
      </c>
    </row>
    <row r="21" spans="2:10" x14ac:dyDescent="0.3">
      <c r="B21" s="33" t="s">
        <v>177</v>
      </c>
      <c r="C21" s="34" t="s">
        <v>359</v>
      </c>
      <c r="D21" s="35" t="s">
        <v>16</v>
      </c>
      <c r="E21" s="47">
        <v>52</v>
      </c>
      <c r="F21" s="36">
        <v>18.399999999999999</v>
      </c>
      <c r="G21" s="37">
        <f t="shared" si="0"/>
        <v>956.8</v>
      </c>
      <c r="H21" s="10"/>
    </row>
    <row r="22" spans="2:10" x14ac:dyDescent="0.3">
      <c r="B22" s="33" t="s">
        <v>178</v>
      </c>
      <c r="C22" s="34" t="s">
        <v>361</v>
      </c>
      <c r="D22" s="35" t="s">
        <v>16</v>
      </c>
      <c r="E22" s="47">
        <v>18</v>
      </c>
      <c r="F22" s="36">
        <v>13.3</v>
      </c>
      <c r="G22" s="37">
        <f>IF(E22="","",IF(F22="","",ROUND(E22*F22,2)))</f>
        <v>239.4</v>
      </c>
      <c r="H22" s="10"/>
    </row>
    <row r="23" spans="2:10" x14ac:dyDescent="0.3">
      <c r="B23" s="33"/>
      <c r="C23" s="34"/>
      <c r="D23" s="35"/>
      <c r="E23" s="47"/>
      <c r="F23" s="36" t="s">
        <v>11</v>
      </c>
      <c r="G23" s="37" t="str">
        <f t="shared" si="0"/>
        <v/>
      </c>
      <c r="H23" s="10"/>
    </row>
    <row r="24" spans="2:10" x14ac:dyDescent="0.3">
      <c r="B24" s="33" t="s">
        <v>180</v>
      </c>
      <c r="C24" s="34" t="s">
        <v>25</v>
      </c>
      <c r="D24" s="35"/>
      <c r="E24" s="47"/>
      <c r="F24" s="36" t="s">
        <v>11</v>
      </c>
      <c r="G24" s="37" t="str">
        <f t="shared" si="0"/>
        <v/>
      </c>
      <c r="H24" s="10"/>
    </row>
    <row r="25" spans="2:10" ht="41.4" x14ac:dyDescent="0.3">
      <c r="B25" s="33" t="s">
        <v>181</v>
      </c>
      <c r="C25" s="34" t="s">
        <v>26</v>
      </c>
      <c r="D25" s="35"/>
      <c r="E25" s="47"/>
      <c r="F25" s="36" t="s">
        <v>11</v>
      </c>
      <c r="G25" s="37" t="str">
        <f t="shared" si="0"/>
        <v/>
      </c>
      <c r="H25" s="10"/>
    </row>
    <row r="26" spans="2:10" x14ac:dyDescent="0.3">
      <c r="B26" s="33" t="s">
        <v>182</v>
      </c>
      <c r="C26" s="34" t="s">
        <v>454</v>
      </c>
      <c r="D26" s="35" t="s">
        <v>16</v>
      </c>
      <c r="E26" s="36">
        <v>25</v>
      </c>
      <c r="F26" s="36">
        <v>172</v>
      </c>
      <c r="G26" s="37">
        <f>IF(E26="","",IF(F26="","",ROUND(E26*F26,2)))</f>
        <v>4300</v>
      </c>
      <c r="H26" s="10"/>
      <c r="I26" s="11" t="s">
        <v>455</v>
      </c>
      <c r="J26">
        <v>183</v>
      </c>
    </row>
    <row r="27" spans="2:10" x14ac:dyDescent="0.3">
      <c r="B27" s="33" t="s">
        <v>183</v>
      </c>
      <c r="C27" s="34" t="s">
        <v>450</v>
      </c>
      <c r="D27" s="35" t="s">
        <v>16</v>
      </c>
      <c r="E27" s="36">
        <v>52</v>
      </c>
      <c r="F27" s="36">
        <f>(4*16.7)+8.9</f>
        <v>75.7</v>
      </c>
      <c r="G27" s="37">
        <f>IF(E27="","",IF(F27="","",ROUND(E27*F27,2)))</f>
        <v>3936.4</v>
      </c>
      <c r="H27" s="10"/>
      <c r="I27" s="11" t="s">
        <v>323</v>
      </c>
    </row>
    <row r="28" spans="2:10" x14ac:dyDescent="0.3">
      <c r="B28" s="33" t="s">
        <v>184</v>
      </c>
      <c r="C28" s="34" t="s">
        <v>442</v>
      </c>
      <c r="D28" s="35" t="s">
        <v>16</v>
      </c>
      <c r="E28" s="36">
        <v>66</v>
      </c>
      <c r="F28" s="36">
        <v>46.4</v>
      </c>
      <c r="G28" s="37">
        <f t="shared" ref="G28" si="1">IF(E28="","",IF(F28="","",ROUND(E28*F28,2)))</f>
        <v>3062.4</v>
      </c>
      <c r="H28" s="10"/>
    </row>
    <row r="29" spans="2:10" x14ac:dyDescent="0.3">
      <c r="B29" s="33" t="s">
        <v>185</v>
      </c>
      <c r="C29" s="34" t="s">
        <v>443</v>
      </c>
      <c r="D29" s="35" t="s">
        <v>16</v>
      </c>
      <c r="E29" s="36">
        <v>55</v>
      </c>
      <c r="F29" s="36">
        <v>42.1</v>
      </c>
      <c r="G29" s="37">
        <f t="shared" ref="G29" si="2">IF(E29="","",IF(F29="","",ROUND(E29*F29,2)))</f>
        <v>2315.5</v>
      </c>
      <c r="H29" s="10"/>
    </row>
    <row r="30" spans="2:10" x14ac:dyDescent="0.3">
      <c r="B30" s="33" t="s">
        <v>186</v>
      </c>
      <c r="C30" s="34" t="s">
        <v>336</v>
      </c>
      <c r="D30" s="35" t="s">
        <v>16</v>
      </c>
      <c r="E30" s="36">
        <f>55+67+66+11</f>
        <v>199</v>
      </c>
      <c r="F30" s="36">
        <v>14.8</v>
      </c>
      <c r="G30" s="37">
        <f t="shared" ref="G30:G35" si="3">IF(E30="","",IF(F30="","",ROUND(E30*F30,2)))</f>
        <v>2945.2</v>
      </c>
      <c r="H30" s="10"/>
    </row>
    <row r="31" spans="2:10" x14ac:dyDescent="0.3">
      <c r="B31" s="33" t="s">
        <v>187</v>
      </c>
      <c r="C31" s="34" t="s">
        <v>337</v>
      </c>
      <c r="D31" s="35" t="s">
        <v>16</v>
      </c>
      <c r="E31" s="36">
        <f>25+22+54</f>
        <v>101</v>
      </c>
      <c r="F31" s="36">
        <v>8.1999999999999993</v>
      </c>
      <c r="G31" s="37">
        <f t="shared" si="3"/>
        <v>828.2</v>
      </c>
      <c r="H31" s="10"/>
    </row>
    <row r="32" spans="2:10" x14ac:dyDescent="0.3">
      <c r="B32" s="33" t="s">
        <v>188</v>
      </c>
      <c r="C32" s="34" t="s">
        <v>338</v>
      </c>
      <c r="D32" s="35" t="s">
        <v>16</v>
      </c>
      <c r="E32" s="36">
        <f>9+15+9</f>
        <v>33</v>
      </c>
      <c r="F32" s="36">
        <v>6.15</v>
      </c>
      <c r="G32" s="37">
        <f t="shared" si="3"/>
        <v>202.95</v>
      </c>
      <c r="H32" s="10"/>
    </row>
    <row r="33" spans="2:9" x14ac:dyDescent="0.3">
      <c r="B33" s="33" t="s">
        <v>438</v>
      </c>
      <c r="C33" s="34" t="s">
        <v>339</v>
      </c>
      <c r="D33" s="35" t="s">
        <v>16</v>
      </c>
      <c r="E33" s="36">
        <v>14</v>
      </c>
      <c r="F33" s="36">
        <v>3.65</v>
      </c>
      <c r="G33" s="37">
        <f t="shared" si="3"/>
        <v>51.1</v>
      </c>
      <c r="H33" s="10"/>
    </row>
    <row r="34" spans="2:9" x14ac:dyDescent="0.3">
      <c r="B34" s="33" t="s">
        <v>439</v>
      </c>
      <c r="C34" s="34" t="s">
        <v>448</v>
      </c>
      <c r="D34" s="35" t="s">
        <v>16</v>
      </c>
      <c r="E34" s="36">
        <f>46+21+21+25+25+29</f>
        <v>167</v>
      </c>
      <c r="F34" s="36">
        <v>9.4</v>
      </c>
      <c r="G34" s="37">
        <f t="shared" si="3"/>
        <v>1569.8</v>
      </c>
      <c r="H34" s="10"/>
      <c r="I34" s="11" t="s">
        <v>449</v>
      </c>
    </row>
    <row r="35" spans="2:9" x14ac:dyDescent="0.3">
      <c r="B35" s="33" t="s">
        <v>440</v>
      </c>
      <c r="C35" s="34" t="s">
        <v>340</v>
      </c>
      <c r="D35" s="35" t="s">
        <v>16</v>
      </c>
      <c r="E35" s="36">
        <v>45</v>
      </c>
      <c r="F35" s="36">
        <v>2.4500000000000002</v>
      </c>
      <c r="G35" s="37">
        <f t="shared" si="3"/>
        <v>110.25</v>
      </c>
      <c r="H35" s="10"/>
      <c r="I35" s="11" t="s">
        <v>444</v>
      </c>
    </row>
    <row r="36" spans="2:9" x14ac:dyDescent="0.3">
      <c r="B36" s="33" t="s">
        <v>441</v>
      </c>
      <c r="C36" s="34" t="s">
        <v>341</v>
      </c>
      <c r="D36" s="35" t="s">
        <v>16</v>
      </c>
      <c r="E36" s="36">
        <v>90</v>
      </c>
      <c r="F36" s="36">
        <v>3.65</v>
      </c>
      <c r="G36" s="37">
        <f t="shared" ref="G36" si="4">IF(E36="","",IF(F36="","",ROUND(E36*F36,2)))</f>
        <v>328.5</v>
      </c>
      <c r="H36" s="10"/>
      <c r="I36" s="11" t="s">
        <v>342</v>
      </c>
    </row>
    <row r="37" spans="2:9" ht="15.75" customHeight="1" x14ac:dyDescent="0.3">
      <c r="B37" s="33" t="s">
        <v>189</v>
      </c>
      <c r="C37" s="34" t="s">
        <v>85</v>
      </c>
      <c r="D37" s="35" t="s">
        <v>14</v>
      </c>
      <c r="E37" s="36">
        <v>2</v>
      </c>
      <c r="F37" s="36">
        <v>185.7</v>
      </c>
      <c r="G37" s="37">
        <f>IF(E37="","",IF(F37="","",ROUND(E37*F37,2)))</f>
        <v>371.4</v>
      </c>
      <c r="H37" s="10"/>
    </row>
    <row r="38" spans="2:9" x14ac:dyDescent="0.3">
      <c r="B38" s="33"/>
      <c r="C38" s="34"/>
      <c r="D38" s="35"/>
      <c r="E38" s="47"/>
      <c r="F38" s="36" t="s">
        <v>11</v>
      </c>
      <c r="G38" s="37" t="str">
        <f t="shared" si="0"/>
        <v/>
      </c>
      <c r="H38" s="10"/>
    </row>
    <row r="39" spans="2:9" x14ac:dyDescent="0.3">
      <c r="B39" s="33" t="s">
        <v>113</v>
      </c>
      <c r="C39" s="34" t="s">
        <v>27</v>
      </c>
      <c r="D39" s="35"/>
      <c r="E39" s="47"/>
      <c r="F39" s="36" t="s">
        <v>11</v>
      </c>
      <c r="G39" s="37" t="str">
        <f t="shared" si="0"/>
        <v/>
      </c>
      <c r="H39" s="10"/>
    </row>
    <row r="40" spans="2:9" ht="69" x14ac:dyDescent="0.3">
      <c r="B40" s="33" t="s">
        <v>114</v>
      </c>
      <c r="C40" s="34" t="s">
        <v>207</v>
      </c>
      <c r="D40" s="35"/>
      <c r="E40" s="47"/>
      <c r="F40" s="36" t="s">
        <v>11</v>
      </c>
      <c r="G40" s="37" t="str">
        <f t="shared" si="0"/>
        <v/>
      </c>
      <c r="H40" s="10"/>
    </row>
    <row r="41" spans="2:9" x14ac:dyDescent="0.3">
      <c r="B41" s="33" t="s">
        <v>115</v>
      </c>
      <c r="C41" s="34" t="s">
        <v>206</v>
      </c>
      <c r="D41" s="35" t="s">
        <v>6</v>
      </c>
      <c r="E41" s="36">
        <v>1</v>
      </c>
      <c r="F41" s="36">
        <v>6470</v>
      </c>
      <c r="G41" s="37">
        <f t="shared" si="0"/>
        <v>6470</v>
      </c>
      <c r="H41" s="10"/>
    </row>
    <row r="42" spans="2:9" x14ac:dyDescent="0.3">
      <c r="B42" s="33" t="s">
        <v>116</v>
      </c>
      <c r="C42" s="34" t="s">
        <v>204</v>
      </c>
      <c r="D42" s="35" t="s">
        <v>6</v>
      </c>
      <c r="E42" s="36">
        <v>1</v>
      </c>
      <c r="F42" s="36">
        <v>980</v>
      </c>
      <c r="G42" s="37">
        <f t="shared" si="0"/>
        <v>980</v>
      </c>
      <c r="H42" s="10"/>
      <c r="I42" s="11" t="s">
        <v>431</v>
      </c>
    </row>
    <row r="43" spans="2:9" x14ac:dyDescent="0.3">
      <c r="B43" s="33" t="s">
        <v>117</v>
      </c>
      <c r="C43" s="34" t="s">
        <v>205</v>
      </c>
      <c r="D43" s="35" t="s">
        <v>6</v>
      </c>
      <c r="E43" s="36">
        <v>1</v>
      </c>
      <c r="F43" s="36">
        <v>675</v>
      </c>
      <c r="G43" s="37">
        <f t="shared" si="0"/>
        <v>675</v>
      </c>
      <c r="H43" s="10"/>
      <c r="I43" s="11" t="s">
        <v>431</v>
      </c>
    </row>
    <row r="44" spans="2:9" x14ac:dyDescent="0.3">
      <c r="B44" s="33" t="s">
        <v>118</v>
      </c>
      <c r="C44" s="34" t="s">
        <v>91</v>
      </c>
      <c r="D44" s="35" t="s">
        <v>6</v>
      </c>
      <c r="E44" s="36">
        <v>1</v>
      </c>
      <c r="F44" s="36">
        <v>1240</v>
      </c>
      <c r="G44" s="37">
        <f t="shared" si="0"/>
        <v>1240</v>
      </c>
      <c r="H44" s="10"/>
      <c r="I44" s="11" t="s">
        <v>431</v>
      </c>
    </row>
    <row r="45" spans="2:9" x14ac:dyDescent="0.3">
      <c r="B45" s="33" t="s">
        <v>119</v>
      </c>
      <c r="C45" s="34" t="s">
        <v>92</v>
      </c>
      <c r="D45" s="35" t="s">
        <v>6</v>
      </c>
      <c r="E45" s="36">
        <v>1</v>
      </c>
      <c r="F45" s="36">
        <v>1360</v>
      </c>
      <c r="G45" s="37">
        <f t="shared" si="0"/>
        <v>1360</v>
      </c>
      <c r="H45" s="10"/>
      <c r="I45" s="11" t="s">
        <v>431</v>
      </c>
    </row>
    <row r="46" spans="2:9" x14ac:dyDescent="0.3">
      <c r="B46" s="33" t="s">
        <v>120</v>
      </c>
      <c r="C46" s="34" t="s">
        <v>93</v>
      </c>
      <c r="D46" s="35" t="s">
        <v>6</v>
      </c>
      <c r="E46" s="36">
        <v>1</v>
      </c>
      <c r="F46" s="36">
        <v>1180</v>
      </c>
      <c r="G46" s="37">
        <f t="shared" si="0"/>
        <v>1180</v>
      </c>
      <c r="H46" s="10"/>
      <c r="I46" s="11" t="s">
        <v>431</v>
      </c>
    </row>
    <row r="47" spans="2:9" x14ac:dyDescent="0.3">
      <c r="B47" s="33" t="s">
        <v>121</v>
      </c>
      <c r="C47" s="34" t="s">
        <v>333</v>
      </c>
      <c r="D47" s="35" t="s">
        <v>6</v>
      </c>
      <c r="E47" s="36">
        <v>1</v>
      </c>
      <c r="F47" s="36">
        <v>940</v>
      </c>
      <c r="G47" s="37">
        <f t="shared" ref="G47" si="5">IF(E47="","",IF(F47="","",ROUND(E47*F47,2)))</f>
        <v>940</v>
      </c>
      <c r="H47" s="10"/>
      <c r="I47" s="11" t="s">
        <v>431</v>
      </c>
    </row>
    <row r="48" spans="2:9" x14ac:dyDescent="0.3">
      <c r="B48" s="33" t="s">
        <v>122</v>
      </c>
      <c r="C48" s="34" t="s">
        <v>326</v>
      </c>
      <c r="D48" s="35" t="s">
        <v>6</v>
      </c>
      <c r="E48" s="36">
        <v>1</v>
      </c>
      <c r="F48" s="36">
        <v>1300</v>
      </c>
      <c r="G48" s="37">
        <f t="shared" si="0"/>
        <v>1300</v>
      </c>
      <c r="H48" s="10"/>
    </row>
    <row r="49" spans="2:9" x14ac:dyDescent="0.3">
      <c r="B49" s="33" t="s">
        <v>324</v>
      </c>
      <c r="C49" s="34" t="s">
        <v>94</v>
      </c>
      <c r="D49" s="35" t="s">
        <v>6</v>
      </c>
      <c r="E49" s="36">
        <v>1</v>
      </c>
      <c r="F49" s="36">
        <v>835</v>
      </c>
      <c r="G49" s="37">
        <f t="shared" si="0"/>
        <v>835</v>
      </c>
      <c r="H49" s="10"/>
    </row>
    <row r="50" spans="2:9" x14ac:dyDescent="0.3">
      <c r="B50" s="33" t="s">
        <v>325</v>
      </c>
      <c r="C50" s="34" t="s">
        <v>327</v>
      </c>
      <c r="D50" s="35" t="s">
        <v>6</v>
      </c>
      <c r="E50" s="36">
        <v>1</v>
      </c>
      <c r="F50" s="36">
        <v>870</v>
      </c>
      <c r="G50" s="37">
        <f t="shared" si="0"/>
        <v>870</v>
      </c>
      <c r="H50" s="10"/>
    </row>
    <row r="51" spans="2:9" x14ac:dyDescent="0.3">
      <c r="B51" s="33" t="s">
        <v>329</v>
      </c>
      <c r="C51" s="34" t="s">
        <v>406</v>
      </c>
      <c r="D51" s="35" t="s">
        <v>6</v>
      </c>
      <c r="E51" s="36">
        <v>1</v>
      </c>
      <c r="F51" s="36">
        <v>430</v>
      </c>
      <c r="G51" s="37">
        <f t="shared" ref="G51:G52" si="6">IF(E51="","",IF(F51="","",ROUND(E51*F51,2)))</f>
        <v>430</v>
      </c>
      <c r="H51" s="10"/>
    </row>
    <row r="52" spans="2:9" x14ac:dyDescent="0.3">
      <c r="B52" s="33" t="s">
        <v>330</v>
      </c>
      <c r="C52" s="34" t="s">
        <v>409</v>
      </c>
      <c r="D52" s="35" t="s">
        <v>6</v>
      </c>
      <c r="E52" s="36">
        <v>1</v>
      </c>
      <c r="F52" s="36">
        <v>1260</v>
      </c>
      <c r="G52" s="37">
        <f t="shared" si="6"/>
        <v>1260</v>
      </c>
      <c r="H52" s="10"/>
    </row>
    <row r="53" spans="2:9" x14ac:dyDescent="0.3">
      <c r="B53" s="33" t="s">
        <v>331</v>
      </c>
      <c r="C53" s="34" t="s">
        <v>107</v>
      </c>
      <c r="D53" s="35" t="s">
        <v>6</v>
      </c>
      <c r="E53" s="36">
        <v>1</v>
      </c>
      <c r="F53" s="36">
        <v>1450</v>
      </c>
      <c r="G53" s="37">
        <f>IF(E53="","",IF(F53="","",ROUND(E53*F53,2)))</f>
        <v>1450</v>
      </c>
      <c r="H53" s="10"/>
    </row>
    <row r="54" spans="2:9" x14ac:dyDescent="0.3">
      <c r="B54" s="33" t="s">
        <v>332</v>
      </c>
      <c r="C54" s="34" t="s">
        <v>328</v>
      </c>
      <c r="D54" s="35" t="s">
        <v>6</v>
      </c>
      <c r="E54" s="36">
        <v>1</v>
      </c>
      <c r="F54" s="36">
        <v>980</v>
      </c>
      <c r="G54" s="37">
        <f t="shared" ref="G54" si="7">IF(E54="","",IF(F54="","",ROUND(E54*F54,2)))</f>
        <v>980</v>
      </c>
      <c r="H54" s="10"/>
    </row>
    <row r="55" spans="2:9" x14ac:dyDescent="0.3">
      <c r="B55" s="33" t="s">
        <v>407</v>
      </c>
      <c r="C55" s="50" t="s">
        <v>334</v>
      </c>
      <c r="D55" s="51" t="s">
        <v>6</v>
      </c>
      <c r="E55" s="52"/>
      <c r="F55" s="52"/>
      <c r="G55" s="53" t="str">
        <f t="shared" ref="G55" si="8">IF(E55="","",IF(F55="","",ROUND(E55*F55,2)))</f>
        <v/>
      </c>
      <c r="H55" s="10"/>
    </row>
    <row r="56" spans="2:9" x14ac:dyDescent="0.3">
      <c r="B56" s="33" t="s">
        <v>408</v>
      </c>
      <c r="C56" s="50" t="s">
        <v>335</v>
      </c>
      <c r="D56" s="51" t="s">
        <v>6</v>
      </c>
      <c r="E56" s="52"/>
      <c r="F56" s="52"/>
      <c r="G56" s="53" t="str">
        <f>IF(E56="","",IF(F56="","",ROUND(E56*F56,2)))</f>
        <v/>
      </c>
      <c r="H56" s="10"/>
    </row>
    <row r="57" spans="2:9" x14ac:dyDescent="0.3">
      <c r="B57" s="33" t="s">
        <v>451</v>
      </c>
      <c r="C57" s="34" t="s">
        <v>452</v>
      </c>
      <c r="D57" s="35"/>
      <c r="E57" s="47"/>
      <c r="F57" s="36" t="s">
        <v>11</v>
      </c>
      <c r="G57" s="37" t="str">
        <f t="shared" ref="G57:G113" si="9">IF(E57="","",IF(F57="","",ROUND(E57*F57,2)))</f>
        <v/>
      </c>
      <c r="H57" s="10"/>
    </row>
    <row r="58" spans="2:9" ht="27.6" x14ac:dyDescent="0.3">
      <c r="B58" s="33" t="s">
        <v>166</v>
      </c>
      <c r="C58" s="34" t="s">
        <v>453</v>
      </c>
      <c r="D58" s="35" t="s">
        <v>17</v>
      </c>
      <c r="E58" s="47">
        <v>1</v>
      </c>
      <c r="F58" s="36">
        <v>1260</v>
      </c>
      <c r="G58" s="37">
        <f t="shared" si="9"/>
        <v>1260</v>
      </c>
      <c r="H58" s="10"/>
    </row>
    <row r="59" spans="2:9" x14ac:dyDescent="0.3">
      <c r="B59" s="33"/>
      <c r="C59" s="34"/>
      <c r="D59" s="35"/>
      <c r="E59" s="47"/>
      <c r="F59" s="36" t="s">
        <v>11</v>
      </c>
      <c r="G59" s="37" t="str">
        <f t="shared" ref="G59" si="10">IF(E59="","",IF(F59="","",ROUND(E59*F59,2)))</f>
        <v/>
      </c>
      <c r="H59" s="10"/>
    </row>
    <row r="60" spans="2:9" x14ac:dyDescent="0.3">
      <c r="B60" s="38">
        <v>9</v>
      </c>
      <c r="C60" s="39" t="s">
        <v>28</v>
      </c>
      <c r="D60" s="35"/>
      <c r="E60" s="47"/>
      <c r="F60" s="36" t="s">
        <v>11</v>
      </c>
      <c r="G60" s="37" t="str">
        <f t="shared" si="9"/>
        <v/>
      </c>
      <c r="H60" s="10"/>
    </row>
    <row r="61" spans="2:9" ht="41.4" x14ac:dyDescent="0.3">
      <c r="B61" s="33" t="s">
        <v>54</v>
      </c>
      <c r="C61" s="34" t="s">
        <v>95</v>
      </c>
      <c r="D61" s="35" t="s">
        <v>19</v>
      </c>
      <c r="E61" s="47">
        <v>1</v>
      </c>
      <c r="F61" s="36">
        <v>4351</v>
      </c>
      <c r="G61" s="37">
        <f t="shared" si="9"/>
        <v>4351</v>
      </c>
      <c r="H61" s="10"/>
      <c r="I61" s="11" t="s">
        <v>96</v>
      </c>
    </row>
    <row r="62" spans="2:9" ht="17.25" customHeight="1" x14ac:dyDescent="0.3">
      <c r="B62" s="33" t="s">
        <v>55</v>
      </c>
      <c r="C62" s="34" t="s">
        <v>29</v>
      </c>
      <c r="D62" s="35" t="s">
        <v>14</v>
      </c>
      <c r="E62" s="47">
        <v>1</v>
      </c>
      <c r="F62" s="36">
        <v>62</v>
      </c>
      <c r="G62" s="37">
        <f t="shared" si="9"/>
        <v>62</v>
      </c>
      <c r="H62" s="10"/>
    </row>
    <row r="63" spans="2:9" x14ac:dyDescent="0.3">
      <c r="B63" s="33"/>
      <c r="C63" s="34"/>
      <c r="D63" s="35"/>
      <c r="E63" s="47"/>
      <c r="F63" s="36" t="s">
        <v>11</v>
      </c>
      <c r="G63" s="37" t="str">
        <f t="shared" si="9"/>
        <v/>
      </c>
      <c r="H63" s="10"/>
    </row>
    <row r="64" spans="2:9" x14ac:dyDescent="0.3">
      <c r="B64" s="38">
        <v>10</v>
      </c>
      <c r="C64" s="39" t="s">
        <v>30</v>
      </c>
      <c r="D64" s="35"/>
      <c r="E64" s="47"/>
      <c r="F64" s="36" t="s">
        <v>11</v>
      </c>
      <c r="G64" s="37" t="str">
        <f t="shared" si="9"/>
        <v/>
      </c>
      <c r="H64" s="10"/>
    </row>
    <row r="65" spans="2:9" x14ac:dyDescent="0.3">
      <c r="B65" s="33" t="s">
        <v>59</v>
      </c>
      <c r="C65" s="34" t="s">
        <v>31</v>
      </c>
      <c r="D65" s="35"/>
      <c r="E65" s="47"/>
      <c r="F65" s="36" t="s">
        <v>11</v>
      </c>
      <c r="G65" s="37" t="str">
        <f t="shared" si="9"/>
        <v/>
      </c>
      <c r="H65" s="10"/>
    </row>
    <row r="66" spans="2:9" ht="54" customHeight="1" x14ac:dyDescent="0.3">
      <c r="B66" s="33" t="s">
        <v>61</v>
      </c>
      <c r="C66" s="34" t="s">
        <v>22</v>
      </c>
      <c r="D66" s="35"/>
      <c r="E66" s="47"/>
      <c r="F66" s="36" t="s">
        <v>11</v>
      </c>
      <c r="G66" s="37" t="str">
        <f t="shared" si="9"/>
        <v/>
      </c>
      <c r="H66" s="10"/>
    </row>
    <row r="67" spans="2:9" x14ac:dyDescent="0.3">
      <c r="B67" s="33" t="s">
        <v>63</v>
      </c>
      <c r="C67" s="34" t="s">
        <v>23</v>
      </c>
      <c r="D67" s="35" t="s">
        <v>16</v>
      </c>
      <c r="E67" s="36">
        <v>840</v>
      </c>
      <c r="F67" s="36">
        <v>2.02</v>
      </c>
      <c r="G67" s="37">
        <f t="shared" si="9"/>
        <v>1696.8</v>
      </c>
      <c r="H67" s="10"/>
    </row>
    <row r="68" spans="2:9" ht="55.2" x14ac:dyDescent="0.3">
      <c r="B68" s="33" t="s">
        <v>75</v>
      </c>
      <c r="C68" s="34" t="s">
        <v>32</v>
      </c>
      <c r="D68" s="35" t="s">
        <v>6</v>
      </c>
      <c r="E68" s="36">
        <v>32</v>
      </c>
      <c r="F68" s="36">
        <v>6.69</v>
      </c>
      <c r="G68" s="37">
        <f t="shared" si="9"/>
        <v>214.08</v>
      </c>
      <c r="H68" s="10"/>
    </row>
    <row r="69" spans="2:9" ht="41.4" x14ac:dyDescent="0.3">
      <c r="B69" s="33" t="s">
        <v>79</v>
      </c>
      <c r="C69" s="34" t="s">
        <v>33</v>
      </c>
      <c r="D69" s="35" t="s">
        <v>6</v>
      </c>
      <c r="E69" s="36">
        <v>24</v>
      </c>
      <c r="F69" s="36">
        <v>6.06</v>
      </c>
      <c r="G69" s="37">
        <f t="shared" si="9"/>
        <v>145.44</v>
      </c>
      <c r="H69" s="10"/>
    </row>
    <row r="70" spans="2:9" ht="27.6" x14ac:dyDescent="0.3">
      <c r="B70" s="33" t="s">
        <v>88</v>
      </c>
      <c r="C70" s="34" t="s">
        <v>56</v>
      </c>
      <c r="D70" s="35" t="s">
        <v>14</v>
      </c>
      <c r="E70" s="36">
        <v>135</v>
      </c>
      <c r="F70" s="36">
        <v>3.2</v>
      </c>
      <c r="G70" s="37">
        <f t="shared" si="9"/>
        <v>432</v>
      </c>
      <c r="H70" s="10"/>
    </row>
    <row r="71" spans="2:9" x14ac:dyDescent="0.3">
      <c r="B71" s="33"/>
      <c r="C71" s="34"/>
      <c r="D71" s="35"/>
      <c r="E71" s="47"/>
      <c r="F71" s="36" t="s">
        <v>11</v>
      </c>
      <c r="G71" s="37" t="str">
        <f t="shared" si="9"/>
        <v/>
      </c>
      <c r="H71" s="10"/>
    </row>
    <row r="72" spans="2:9" x14ac:dyDescent="0.3">
      <c r="B72" s="33" t="s">
        <v>123</v>
      </c>
      <c r="C72" s="34" t="s">
        <v>34</v>
      </c>
      <c r="D72" s="35"/>
      <c r="E72" s="47"/>
      <c r="F72" s="36" t="s">
        <v>11</v>
      </c>
      <c r="G72" s="37" t="str">
        <f t="shared" si="9"/>
        <v/>
      </c>
      <c r="H72" s="10"/>
    </row>
    <row r="73" spans="2:9" ht="41.4" x14ac:dyDescent="0.3">
      <c r="B73" s="33" t="s">
        <v>124</v>
      </c>
      <c r="C73" s="34" t="s">
        <v>35</v>
      </c>
      <c r="D73" s="35"/>
      <c r="E73" s="47"/>
      <c r="F73" s="36" t="s">
        <v>11</v>
      </c>
      <c r="G73" s="37" t="str">
        <f t="shared" si="9"/>
        <v/>
      </c>
      <c r="H73" s="10"/>
    </row>
    <row r="74" spans="2:9" x14ac:dyDescent="0.3">
      <c r="B74" s="33" t="s">
        <v>125</v>
      </c>
      <c r="C74" s="34" t="s">
        <v>36</v>
      </c>
      <c r="D74" s="35" t="s">
        <v>16</v>
      </c>
      <c r="E74" s="36">
        <v>2760</v>
      </c>
      <c r="F74" s="36">
        <v>2.4</v>
      </c>
      <c r="G74" s="37">
        <f t="shared" si="9"/>
        <v>6624</v>
      </c>
      <c r="H74" s="10"/>
    </row>
    <row r="75" spans="2:9" x14ac:dyDescent="0.3">
      <c r="B75" s="33" t="s">
        <v>126</v>
      </c>
      <c r="C75" s="34" t="s">
        <v>37</v>
      </c>
      <c r="D75" s="35" t="s">
        <v>16</v>
      </c>
      <c r="E75" s="36">
        <v>55</v>
      </c>
      <c r="F75" s="36">
        <v>3.65</v>
      </c>
      <c r="G75" s="37">
        <f t="shared" si="9"/>
        <v>200.75</v>
      </c>
      <c r="H75" s="10"/>
    </row>
    <row r="76" spans="2:9" x14ac:dyDescent="0.3">
      <c r="B76" s="33" t="s">
        <v>127</v>
      </c>
      <c r="C76" s="34" t="s">
        <v>38</v>
      </c>
      <c r="D76" s="35" t="s">
        <v>16</v>
      </c>
      <c r="E76" s="36">
        <v>14</v>
      </c>
      <c r="F76" s="36">
        <v>5.7</v>
      </c>
      <c r="G76" s="37">
        <f t="shared" si="9"/>
        <v>79.8</v>
      </c>
      <c r="H76" s="10"/>
      <c r="I76" s="11" t="s">
        <v>358</v>
      </c>
    </row>
    <row r="77" spans="2:9" x14ac:dyDescent="0.3">
      <c r="B77" s="33" t="s">
        <v>128</v>
      </c>
      <c r="C77" s="34" t="s">
        <v>39</v>
      </c>
      <c r="D77" s="35" t="s">
        <v>16</v>
      </c>
      <c r="E77" s="36">
        <v>34</v>
      </c>
      <c r="F77" s="36">
        <v>8.1999999999999993</v>
      </c>
      <c r="G77" s="37">
        <f t="shared" si="9"/>
        <v>278.8</v>
      </c>
      <c r="H77" s="10"/>
      <c r="I77" s="11" t="s">
        <v>103</v>
      </c>
    </row>
    <row r="78" spans="2:9" x14ac:dyDescent="0.3">
      <c r="B78" s="33"/>
      <c r="C78" s="34"/>
      <c r="D78" s="35"/>
      <c r="E78" s="47"/>
      <c r="F78" s="36" t="s">
        <v>11</v>
      </c>
      <c r="G78" s="37" t="str">
        <f t="shared" si="9"/>
        <v/>
      </c>
      <c r="H78" s="10"/>
    </row>
    <row r="79" spans="2:9" x14ac:dyDescent="0.3">
      <c r="B79" s="33" t="s">
        <v>129</v>
      </c>
      <c r="C79" s="34" t="s">
        <v>40</v>
      </c>
      <c r="D79" s="35"/>
      <c r="E79" s="47"/>
      <c r="F79" s="36" t="s">
        <v>11</v>
      </c>
      <c r="G79" s="37" t="str">
        <f t="shared" si="9"/>
        <v/>
      </c>
      <c r="H79" s="10"/>
    </row>
    <row r="80" spans="2:9" ht="96.6" x14ac:dyDescent="0.3">
      <c r="B80" s="33" t="s">
        <v>130</v>
      </c>
      <c r="C80" s="34" t="s">
        <v>219</v>
      </c>
      <c r="D80" s="35"/>
      <c r="E80" s="47"/>
      <c r="F80" s="36" t="s">
        <v>11</v>
      </c>
      <c r="G80" s="37" t="str">
        <f t="shared" si="9"/>
        <v/>
      </c>
      <c r="H80" s="10"/>
    </row>
    <row r="81" spans="2:9" ht="27.6" x14ac:dyDescent="0.3">
      <c r="B81" s="33" t="s">
        <v>131</v>
      </c>
      <c r="C81" s="34" t="s">
        <v>41</v>
      </c>
      <c r="D81" s="35" t="s">
        <v>6</v>
      </c>
      <c r="E81" s="47">
        <v>151</v>
      </c>
      <c r="F81" s="36">
        <v>12.9</v>
      </c>
      <c r="G81" s="37">
        <f t="shared" si="9"/>
        <v>1947.9</v>
      </c>
      <c r="H81" s="10"/>
    </row>
    <row r="82" spans="2:9" ht="27.6" x14ac:dyDescent="0.3">
      <c r="B82" s="33" t="s">
        <v>132</v>
      </c>
      <c r="C82" s="34" t="s">
        <v>98</v>
      </c>
      <c r="D82" s="35" t="s">
        <v>14</v>
      </c>
      <c r="E82" s="47">
        <v>60</v>
      </c>
      <c r="F82" s="36">
        <v>13.8</v>
      </c>
      <c r="G82" s="37">
        <f t="shared" si="9"/>
        <v>828</v>
      </c>
      <c r="H82" s="10"/>
      <c r="I82" s="11" t="s">
        <v>356</v>
      </c>
    </row>
    <row r="83" spans="2:9" ht="27.6" x14ac:dyDescent="0.3">
      <c r="B83" s="33" t="s">
        <v>133</v>
      </c>
      <c r="C83" s="34" t="s">
        <v>99</v>
      </c>
      <c r="D83" s="35" t="s">
        <v>14</v>
      </c>
      <c r="E83" s="47">
        <v>40</v>
      </c>
      <c r="F83" s="36">
        <v>14.75</v>
      </c>
      <c r="G83" s="37">
        <f>IF(E83="","",IF(F83="","",ROUND(E83*F83,2)))</f>
        <v>590</v>
      </c>
      <c r="H83" s="10"/>
      <c r="I83" s="11" t="s">
        <v>357</v>
      </c>
    </row>
    <row r="84" spans="2:9" ht="27.6" x14ac:dyDescent="0.3">
      <c r="B84" s="33" t="s">
        <v>134</v>
      </c>
      <c r="C84" s="34" t="s">
        <v>218</v>
      </c>
      <c r="D84" s="35" t="s">
        <v>14</v>
      </c>
      <c r="E84" s="47">
        <v>23</v>
      </c>
      <c r="F84" s="36">
        <v>14.25</v>
      </c>
      <c r="G84" s="37">
        <f>IF(E84="","",IF(F84="","",ROUND(E84*F84,2)))</f>
        <v>327.75</v>
      </c>
      <c r="H84" s="10"/>
    </row>
    <row r="85" spans="2:9" ht="27.6" x14ac:dyDescent="0.3">
      <c r="B85" s="33" t="s">
        <v>134</v>
      </c>
      <c r="C85" s="34" t="s">
        <v>432</v>
      </c>
      <c r="D85" s="35" t="s">
        <v>14</v>
      </c>
      <c r="E85" s="47">
        <v>1</v>
      </c>
      <c r="F85" s="36">
        <v>10.35</v>
      </c>
      <c r="G85" s="37">
        <f>IF(E85="","",IF(F85="","",ROUND(E85*F85,2)))</f>
        <v>10.35</v>
      </c>
      <c r="H85" s="10"/>
    </row>
    <row r="86" spans="2:9" ht="56.25" customHeight="1" x14ac:dyDescent="0.3">
      <c r="B86" s="33" t="s">
        <v>135</v>
      </c>
      <c r="C86" s="34" t="s">
        <v>108</v>
      </c>
      <c r="D86" s="35" t="s">
        <v>14</v>
      </c>
      <c r="E86" s="47">
        <v>20</v>
      </c>
      <c r="F86" s="36">
        <v>85</v>
      </c>
      <c r="G86" s="48">
        <f>IF(E86="","",IF(F86="","",ROUND(E86*F86,2)))</f>
        <v>1700</v>
      </c>
      <c r="H86" s="10"/>
    </row>
    <row r="87" spans="2:9" ht="27.6" x14ac:dyDescent="0.3">
      <c r="B87" s="33" t="s">
        <v>217</v>
      </c>
      <c r="C87" s="34" t="s">
        <v>109</v>
      </c>
      <c r="D87" s="35" t="s">
        <v>14</v>
      </c>
      <c r="E87" s="47">
        <v>3</v>
      </c>
      <c r="F87" s="36">
        <v>28</v>
      </c>
      <c r="G87" s="37">
        <f>IF(E87="","",IF(F87="","",ROUND(E87*F87,2)))</f>
        <v>84</v>
      </c>
      <c r="H87" s="10"/>
    </row>
    <row r="88" spans="2:9" x14ac:dyDescent="0.3">
      <c r="B88" s="33"/>
      <c r="C88" s="34"/>
      <c r="D88" s="35"/>
      <c r="E88" s="47"/>
      <c r="F88" s="36" t="s">
        <v>11</v>
      </c>
      <c r="G88" s="37" t="str">
        <f t="shared" si="9"/>
        <v/>
      </c>
      <c r="H88" s="10"/>
    </row>
    <row r="89" spans="2:9" x14ac:dyDescent="0.3">
      <c r="B89" s="38" t="s">
        <v>136</v>
      </c>
      <c r="C89" s="39" t="s">
        <v>20</v>
      </c>
      <c r="D89" s="35"/>
      <c r="E89" s="47"/>
      <c r="F89" s="36" t="s">
        <v>11</v>
      </c>
      <c r="G89" s="37" t="str">
        <f t="shared" ref="G89:G96" si="11">IF(E89="","",IF(F89="","",ROUND(E89*F89,2)))</f>
        <v/>
      </c>
      <c r="H89" s="10"/>
    </row>
    <row r="90" spans="2:9" ht="41.4" x14ac:dyDescent="0.3">
      <c r="B90" s="33" t="s">
        <v>137</v>
      </c>
      <c r="C90" s="34" t="s">
        <v>216</v>
      </c>
      <c r="D90" s="35" t="s">
        <v>19</v>
      </c>
      <c r="E90" s="47">
        <v>1</v>
      </c>
      <c r="F90" s="36">
        <v>7875</v>
      </c>
      <c r="G90" s="37">
        <f t="shared" si="11"/>
        <v>7875</v>
      </c>
      <c r="H90" s="10"/>
    </row>
    <row r="91" spans="2:9" x14ac:dyDescent="0.3">
      <c r="B91" s="33"/>
      <c r="C91" s="34"/>
      <c r="D91" s="35"/>
      <c r="E91" s="47"/>
      <c r="F91" s="36" t="s">
        <v>11</v>
      </c>
      <c r="G91" s="37" t="str">
        <f t="shared" si="11"/>
        <v/>
      </c>
      <c r="H91" s="10"/>
    </row>
    <row r="92" spans="2:9" x14ac:dyDescent="0.3">
      <c r="B92" s="38" t="s">
        <v>208</v>
      </c>
      <c r="C92" s="39" t="s">
        <v>211</v>
      </c>
      <c r="D92" s="35"/>
      <c r="E92" s="47"/>
      <c r="F92" s="36" t="s">
        <v>11</v>
      </c>
      <c r="G92" s="37" t="str">
        <f t="shared" si="11"/>
        <v/>
      </c>
      <c r="H92" s="10"/>
    </row>
    <row r="93" spans="2:9" ht="41.4" x14ac:dyDescent="0.3">
      <c r="B93" s="33" t="s">
        <v>209</v>
      </c>
      <c r="C93" s="34" t="s">
        <v>213</v>
      </c>
      <c r="D93" s="35" t="s">
        <v>19</v>
      </c>
      <c r="E93" s="47">
        <v>1</v>
      </c>
      <c r="F93" s="36">
        <v>18750</v>
      </c>
      <c r="G93" s="37">
        <f t="shared" si="11"/>
        <v>18750</v>
      </c>
      <c r="H93" s="10"/>
    </row>
    <row r="94" spans="2:9" ht="55.2" x14ac:dyDescent="0.3">
      <c r="B94" s="33" t="s">
        <v>210</v>
      </c>
      <c r="C94" s="34" t="s">
        <v>215</v>
      </c>
      <c r="D94" s="35" t="s">
        <v>14</v>
      </c>
      <c r="E94" s="47">
        <v>1</v>
      </c>
      <c r="F94" s="36">
        <v>8970</v>
      </c>
      <c r="G94" s="37">
        <f t="shared" si="11"/>
        <v>8970</v>
      </c>
      <c r="H94" s="10"/>
    </row>
    <row r="95" spans="2:9" ht="30.75" customHeight="1" x14ac:dyDescent="0.3">
      <c r="B95" s="33" t="s">
        <v>212</v>
      </c>
      <c r="C95" s="34" t="s">
        <v>214</v>
      </c>
      <c r="D95" s="35" t="s">
        <v>14</v>
      </c>
      <c r="E95" s="47">
        <v>1</v>
      </c>
      <c r="F95" s="36">
        <v>1780</v>
      </c>
      <c r="G95" s="37">
        <f t="shared" si="11"/>
        <v>1780</v>
      </c>
      <c r="H95" s="10"/>
    </row>
    <row r="96" spans="2:9" x14ac:dyDescent="0.3">
      <c r="B96" s="33"/>
      <c r="C96" s="34"/>
      <c r="D96" s="35"/>
      <c r="E96" s="47"/>
      <c r="F96" s="36" t="s">
        <v>11</v>
      </c>
      <c r="G96" s="37" t="str">
        <f t="shared" si="11"/>
        <v/>
      </c>
      <c r="H96" s="10"/>
    </row>
    <row r="97" spans="2:9" x14ac:dyDescent="0.3">
      <c r="B97" s="38">
        <v>11</v>
      </c>
      <c r="C97" s="39" t="s">
        <v>42</v>
      </c>
      <c r="D97" s="35"/>
      <c r="E97" s="47"/>
      <c r="F97" s="36" t="s">
        <v>11</v>
      </c>
      <c r="G97" s="37" t="str">
        <f t="shared" si="9"/>
        <v/>
      </c>
      <c r="H97" s="10"/>
    </row>
    <row r="98" spans="2:9" x14ac:dyDescent="0.3">
      <c r="B98" s="33" t="s">
        <v>138</v>
      </c>
      <c r="C98" s="34" t="s">
        <v>31</v>
      </c>
      <c r="D98" s="35"/>
      <c r="E98" s="47"/>
      <c r="F98" s="36" t="s">
        <v>11</v>
      </c>
      <c r="G98" s="37" t="str">
        <f t="shared" si="9"/>
        <v/>
      </c>
      <c r="H98" s="10"/>
    </row>
    <row r="99" spans="2:9" ht="55.5" customHeight="1" x14ac:dyDescent="0.3">
      <c r="B99" s="33" t="s">
        <v>139</v>
      </c>
      <c r="C99" s="34" t="s">
        <v>22</v>
      </c>
      <c r="D99" s="35"/>
      <c r="E99" s="47"/>
      <c r="F99" s="36" t="s">
        <v>11</v>
      </c>
      <c r="G99" s="37" t="str">
        <f t="shared" si="9"/>
        <v/>
      </c>
      <c r="H99" s="10"/>
    </row>
    <row r="100" spans="2:9" x14ac:dyDescent="0.3">
      <c r="B100" s="33" t="s">
        <v>140</v>
      </c>
      <c r="C100" s="34" t="s">
        <v>43</v>
      </c>
      <c r="D100" s="35" t="s">
        <v>16</v>
      </c>
      <c r="E100" s="36">
        <v>430</v>
      </c>
      <c r="F100" s="36">
        <v>1.8</v>
      </c>
      <c r="G100" s="37">
        <f t="shared" si="9"/>
        <v>774</v>
      </c>
      <c r="H100" s="10"/>
    </row>
    <row r="101" spans="2:9" ht="55.2" x14ac:dyDescent="0.3">
      <c r="B101" s="33" t="s">
        <v>141</v>
      </c>
      <c r="C101" s="34" t="s">
        <v>32</v>
      </c>
      <c r="D101" s="35" t="s">
        <v>6</v>
      </c>
      <c r="E101" s="36">
        <v>36</v>
      </c>
      <c r="F101" s="36">
        <v>6.69</v>
      </c>
      <c r="G101" s="37">
        <f t="shared" si="9"/>
        <v>240.84</v>
      </c>
      <c r="H101" s="10"/>
    </row>
    <row r="102" spans="2:9" ht="42" customHeight="1" x14ac:dyDescent="0.3">
      <c r="B102" s="33" t="s">
        <v>142</v>
      </c>
      <c r="C102" s="34" t="s">
        <v>353</v>
      </c>
      <c r="D102" s="35" t="s">
        <v>6</v>
      </c>
      <c r="E102" s="36">
        <v>104</v>
      </c>
      <c r="F102" s="36">
        <v>4.75</v>
      </c>
      <c r="G102" s="37">
        <f>IF(E102="","",IF(F102="","",ROUND(E102*F102,2)))</f>
        <v>494</v>
      </c>
      <c r="H102" s="10"/>
    </row>
    <row r="103" spans="2:9" ht="27.6" x14ac:dyDescent="0.3">
      <c r="B103" s="33" t="s">
        <v>143</v>
      </c>
      <c r="C103" s="34" t="s">
        <v>106</v>
      </c>
      <c r="D103" s="35" t="s">
        <v>14</v>
      </c>
      <c r="E103" s="36">
        <v>58</v>
      </c>
      <c r="F103" s="36">
        <v>3.2</v>
      </c>
      <c r="G103" s="37">
        <f>IF(E103="","",IF(F103="","",ROUND(E103*F103,2)))</f>
        <v>185.6</v>
      </c>
      <c r="H103" s="10"/>
    </row>
    <row r="104" spans="2:9" x14ac:dyDescent="0.3">
      <c r="B104" s="33" t="s">
        <v>144</v>
      </c>
      <c r="C104" s="34" t="s">
        <v>34</v>
      </c>
      <c r="D104" s="35"/>
      <c r="E104" s="47"/>
      <c r="F104" s="36" t="s">
        <v>11</v>
      </c>
      <c r="G104" s="37" t="str">
        <f t="shared" si="9"/>
        <v/>
      </c>
      <c r="H104" s="10"/>
    </row>
    <row r="105" spans="2:9" ht="41.4" x14ac:dyDescent="0.3">
      <c r="B105" s="33" t="s">
        <v>145</v>
      </c>
      <c r="C105" s="34" t="s">
        <v>35</v>
      </c>
      <c r="D105" s="35"/>
      <c r="E105" s="47"/>
      <c r="F105" s="36" t="s">
        <v>11</v>
      </c>
      <c r="G105" s="37" t="str">
        <f t="shared" si="9"/>
        <v/>
      </c>
      <c r="H105" s="10"/>
    </row>
    <row r="106" spans="2:9" x14ac:dyDescent="0.3">
      <c r="B106" s="33" t="s">
        <v>146</v>
      </c>
      <c r="C106" s="34" t="s">
        <v>44</v>
      </c>
      <c r="D106" s="35" t="s">
        <v>16</v>
      </c>
      <c r="E106" s="36">
        <v>380</v>
      </c>
      <c r="F106" s="36">
        <v>1.65</v>
      </c>
      <c r="G106" s="37">
        <f t="shared" si="9"/>
        <v>627</v>
      </c>
      <c r="H106" s="10"/>
      <c r="I106" s="9"/>
    </row>
    <row r="107" spans="2:9" x14ac:dyDescent="0.3">
      <c r="B107" s="33" t="s">
        <v>147</v>
      </c>
      <c r="C107" s="34" t="s">
        <v>45</v>
      </c>
      <c r="D107" s="35" t="s">
        <v>16</v>
      </c>
      <c r="E107" s="36">
        <v>1780</v>
      </c>
      <c r="F107" s="36">
        <v>1.95</v>
      </c>
      <c r="G107" s="37">
        <f t="shared" si="9"/>
        <v>3471</v>
      </c>
      <c r="H107" s="10"/>
      <c r="I107" s="9"/>
    </row>
    <row r="108" spans="2:9" x14ac:dyDescent="0.3">
      <c r="B108" s="33" t="s">
        <v>148</v>
      </c>
      <c r="C108" s="34" t="s">
        <v>46</v>
      </c>
      <c r="D108" s="35" t="s">
        <v>16</v>
      </c>
      <c r="E108" s="36">
        <v>175</v>
      </c>
      <c r="F108" s="36">
        <v>2.5</v>
      </c>
      <c r="G108" s="37">
        <f t="shared" si="9"/>
        <v>437.5</v>
      </c>
      <c r="H108" s="10"/>
      <c r="I108" s="9"/>
    </row>
    <row r="109" spans="2:9" x14ac:dyDescent="0.3">
      <c r="B109" s="33" t="s">
        <v>148</v>
      </c>
      <c r="C109" s="34" t="s">
        <v>104</v>
      </c>
      <c r="D109" s="35" t="s">
        <v>16</v>
      </c>
      <c r="E109" s="36">
        <v>490</v>
      </c>
      <c r="F109" s="36">
        <v>2.9</v>
      </c>
      <c r="G109" s="37">
        <f>IF(E109="","",IF(F109="","",ROUND(E109*F109,2)))</f>
        <v>1421</v>
      </c>
      <c r="H109" s="10"/>
      <c r="I109" s="9" t="s">
        <v>105</v>
      </c>
    </row>
    <row r="110" spans="2:9" x14ac:dyDescent="0.3">
      <c r="B110" s="33" t="s">
        <v>149</v>
      </c>
      <c r="C110" s="34" t="s">
        <v>434</v>
      </c>
      <c r="D110" s="35" t="s">
        <v>16</v>
      </c>
      <c r="E110" s="36">
        <f>(300+50)*1.2</f>
        <v>420</v>
      </c>
      <c r="F110" s="36">
        <v>2.0499999999999998</v>
      </c>
      <c r="G110" s="37">
        <f t="shared" si="9"/>
        <v>861</v>
      </c>
      <c r="H110" s="10"/>
      <c r="I110" s="9" t="s">
        <v>352</v>
      </c>
    </row>
    <row r="111" spans="2:9" x14ac:dyDescent="0.3">
      <c r="B111" s="33" t="s">
        <v>149</v>
      </c>
      <c r="C111" s="34" t="s">
        <v>433</v>
      </c>
      <c r="D111" s="35" t="s">
        <v>16</v>
      </c>
      <c r="E111" s="36">
        <f>(220+84)*1.2</f>
        <v>364.8</v>
      </c>
      <c r="F111" s="36">
        <v>1.85</v>
      </c>
      <c r="G111" s="37">
        <f t="shared" ref="G111" si="12">IF(E111="","",IF(F111="","",ROUND(E111*F111,2)))</f>
        <v>674.88</v>
      </c>
      <c r="H111" s="10"/>
      <c r="I111" s="9" t="s">
        <v>398</v>
      </c>
    </row>
    <row r="112" spans="2:9" x14ac:dyDescent="0.3">
      <c r="B112" s="33" t="s">
        <v>150</v>
      </c>
      <c r="C112" s="34" t="s">
        <v>40</v>
      </c>
      <c r="D112" s="35"/>
      <c r="E112" s="47"/>
      <c r="F112" s="36" t="s">
        <v>11</v>
      </c>
      <c r="G112" s="37" t="str">
        <f t="shared" si="9"/>
        <v/>
      </c>
      <c r="H112" s="10"/>
    </row>
    <row r="113" spans="2:9" ht="83.25" customHeight="1" x14ac:dyDescent="0.3">
      <c r="B113" s="33" t="s">
        <v>151</v>
      </c>
      <c r="C113" s="34" t="s">
        <v>220</v>
      </c>
      <c r="D113" s="35"/>
      <c r="E113" s="47"/>
      <c r="F113" s="36" t="s">
        <v>11</v>
      </c>
      <c r="G113" s="37" t="str">
        <f t="shared" si="9"/>
        <v/>
      </c>
      <c r="H113" s="10"/>
    </row>
    <row r="114" spans="2:9" x14ac:dyDescent="0.3">
      <c r="B114" s="33" t="s">
        <v>229</v>
      </c>
      <c r="C114" s="34" t="s">
        <v>349</v>
      </c>
      <c r="D114" s="35" t="s">
        <v>6</v>
      </c>
      <c r="E114" s="36">
        <v>12</v>
      </c>
      <c r="F114" s="36">
        <f>65.3+2.45+53</f>
        <v>120.75</v>
      </c>
      <c r="G114" s="37">
        <f>IF(E114="","",IF(F114="","",ROUND(E114*F114,2)))</f>
        <v>1449</v>
      </c>
      <c r="H114" s="10"/>
    </row>
    <row r="115" spans="2:9" x14ac:dyDescent="0.3">
      <c r="B115" s="33" t="s">
        <v>230</v>
      </c>
      <c r="C115" s="34" t="s">
        <v>350</v>
      </c>
      <c r="D115" s="35" t="s">
        <v>6</v>
      </c>
      <c r="E115" s="36">
        <v>5</v>
      </c>
      <c r="F115" s="36">
        <f>65.3+2.45+63</f>
        <v>130.75</v>
      </c>
      <c r="G115" s="37">
        <f>IF(E115="","",IF(F115="","",ROUND(E115*F115,2)))</f>
        <v>653.75</v>
      </c>
      <c r="H115" s="10"/>
    </row>
    <row r="116" spans="2:9" x14ac:dyDescent="0.3">
      <c r="B116" s="33" t="s">
        <v>231</v>
      </c>
      <c r="C116" s="34" t="s">
        <v>351</v>
      </c>
      <c r="D116" s="35" t="s">
        <v>6</v>
      </c>
      <c r="E116" s="36">
        <v>1</v>
      </c>
      <c r="F116" s="36">
        <f>65.3+2.45+92</f>
        <v>159.75</v>
      </c>
      <c r="G116" s="37">
        <f>IF(E116="","",IF(F116="","",ROUND(E116*F116,2)))</f>
        <v>159.75</v>
      </c>
      <c r="H116" s="10"/>
    </row>
    <row r="117" spans="2:9" x14ac:dyDescent="0.3">
      <c r="B117" s="33"/>
      <c r="C117" s="34"/>
      <c r="D117" s="35"/>
      <c r="E117" s="36"/>
      <c r="F117" s="36"/>
      <c r="G117" s="37"/>
      <c r="H117" s="10"/>
    </row>
    <row r="118" spans="2:9" x14ac:dyDescent="0.3">
      <c r="B118" s="33" t="s">
        <v>232</v>
      </c>
      <c r="C118" s="34" t="s">
        <v>202</v>
      </c>
      <c r="D118" s="35"/>
      <c r="E118" s="36"/>
      <c r="F118" s="36" t="s">
        <v>11</v>
      </c>
      <c r="G118" s="37" t="str">
        <f>IF(E118="","",IF(F118="","",ROUND(E118*F118,2)))</f>
        <v/>
      </c>
      <c r="H118" s="10"/>
    </row>
    <row r="119" spans="2:9" x14ac:dyDescent="0.3">
      <c r="B119" s="33" t="s">
        <v>233</v>
      </c>
      <c r="C119" s="34" t="s">
        <v>227</v>
      </c>
      <c r="D119" s="35" t="s">
        <v>6</v>
      </c>
      <c r="E119" s="36">
        <v>4</v>
      </c>
      <c r="F119" s="36">
        <v>157</v>
      </c>
      <c r="G119" s="37">
        <f>IF(E119="","",IF(F119="","",ROUND(E119*F119,2)))</f>
        <v>628</v>
      </c>
      <c r="H119" s="10"/>
    </row>
    <row r="120" spans="2:9" x14ac:dyDescent="0.3">
      <c r="B120" s="33" t="s">
        <v>234</v>
      </c>
      <c r="C120" s="34" t="s">
        <v>430</v>
      </c>
      <c r="D120" s="35" t="s">
        <v>6</v>
      </c>
      <c r="E120" s="36">
        <v>21</v>
      </c>
      <c r="F120" s="36">
        <v>169</v>
      </c>
      <c r="G120" s="37">
        <f>IF(E120="","",IF(F120="","",ROUND(E120*F120,2)))</f>
        <v>3549</v>
      </c>
      <c r="H120" s="10"/>
    </row>
    <row r="121" spans="2:9" x14ac:dyDescent="0.3">
      <c r="B121" s="33" t="s">
        <v>235</v>
      </c>
      <c r="C121" s="34" t="s">
        <v>228</v>
      </c>
      <c r="D121" s="35" t="s">
        <v>6</v>
      </c>
      <c r="E121" s="36">
        <v>12</v>
      </c>
      <c r="F121" s="36">
        <v>182</v>
      </c>
      <c r="G121" s="37">
        <f>IF(E121="","",IF(F121="","",ROUND(E121*F121,2)))</f>
        <v>2184</v>
      </c>
      <c r="H121" s="10"/>
    </row>
    <row r="122" spans="2:9" x14ac:dyDescent="0.3">
      <c r="B122" s="33" t="s">
        <v>236</v>
      </c>
      <c r="C122" s="34" t="s">
        <v>410</v>
      </c>
      <c r="D122" s="35" t="s">
        <v>6</v>
      </c>
      <c r="E122" s="36">
        <v>7</v>
      </c>
      <c r="F122" s="36">
        <v>64</v>
      </c>
      <c r="G122" s="37">
        <f>IF(E122="","",IF(F122="","",ROUND(E122*F122,2)))</f>
        <v>448</v>
      </c>
      <c r="H122" s="10"/>
    </row>
    <row r="123" spans="2:9" ht="15.75" customHeight="1" x14ac:dyDescent="0.3">
      <c r="B123" s="33"/>
      <c r="C123" s="34"/>
      <c r="D123" s="35"/>
      <c r="E123" s="36"/>
      <c r="F123" s="36"/>
      <c r="G123" s="37"/>
      <c r="H123" s="10"/>
    </row>
    <row r="124" spans="2:9" x14ac:dyDescent="0.3">
      <c r="B124" s="38" t="s">
        <v>152</v>
      </c>
      <c r="C124" s="39" t="s">
        <v>47</v>
      </c>
      <c r="D124" s="35"/>
      <c r="E124" s="47"/>
      <c r="F124" s="36" t="s">
        <v>11</v>
      </c>
      <c r="G124" s="37" t="str">
        <f t="shared" ref="G124:G144" si="13">IF(E124="","",IF(F124="","",ROUND(E124*F124,2)))</f>
        <v/>
      </c>
      <c r="H124" s="10"/>
    </row>
    <row r="125" spans="2:9" ht="55.2" x14ac:dyDescent="0.3">
      <c r="B125" s="33" t="s">
        <v>153</v>
      </c>
      <c r="C125" s="34" t="s">
        <v>422</v>
      </c>
      <c r="D125" s="35"/>
      <c r="E125" s="47"/>
      <c r="F125" s="36" t="s">
        <v>11</v>
      </c>
      <c r="G125" s="37" t="str">
        <f t="shared" si="13"/>
        <v/>
      </c>
      <c r="H125" s="10"/>
      <c r="I125" s="11" t="s">
        <v>194</v>
      </c>
    </row>
    <row r="126" spans="2:9" x14ac:dyDescent="0.3">
      <c r="B126" s="33" t="s">
        <v>154</v>
      </c>
      <c r="C126" s="34" t="s">
        <v>200</v>
      </c>
      <c r="D126" s="35" t="s">
        <v>6</v>
      </c>
      <c r="E126" s="36">
        <v>32</v>
      </c>
      <c r="F126" s="36">
        <v>170.3</v>
      </c>
      <c r="G126" s="37">
        <f t="shared" si="13"/>
        <v>5449.6</v>
      </c>
      <c r="H126" s="10"/>
      <c r="I126" s="11" t="s">
        <v>400</v>
      </c>
    </row>
    <row r="127" spans="2:9" x14ac:dyDescent="0.3">
      <c r="B127" s="33" t="s">
        <v>155</v>
      </c>
      <c r="C127" s="34" t="s">
        <v>416</v>
      </c>
      <c r="D127" s="35" t="s">
        <v>6</v>
      </c>
      <c r="E127" s="36">
        <v>10</v>
      </c>
      <c r="F127" s="36">
        <v>215.8</v>
      </c>
      <c r="G127" s="37">
        <f t="shared" si="13"/>
        <v>2158</v>
      </c>
      <c r="H127" s="10"/>
    </row>
    <row r="128" spans="2:9" x14ac:dyDescent="0.3">
      <c r="B128" s="33" t="s">
        <v>156</v>
      </c>
      <c r="C128" s="34" t="s">
        <v>198</v>
      </c>
      <c r="D128" s="35" t="s">
        <v>6</v>
      </c>
      <c r="E128" s="36">
        <v>7</v>
      </c>
      <c r="F128" s="36">
        <v>200.2</v>
      </c>
      <c r="G128" s="37">
        <f t="shared" si="13"/>
        <v>1401.4</v>
      </c>
      <c r="H128" s="10"/>
    </row>
    <row r="129" spans="2:10" x14ac:dyDescent="0.3">
      <c r="B129" s="33" t="s">
        <v>157</v>
      </c>
      <c r="C129" s="34" t="s">
        <v>192</v>
      </c>
      <c r="D129" s="35" t="s">
        <v>6</v>
      </c>
      <c r="E129" s="36">
        <v>29</v>
      </c>
      <c r="F129" s="36">
        <v>86.7</v>
      </c>
      <c r="G129" s="37">
        <f t="shared" si="13"/>
        <v>2514.3000000000002</v>
      </c>
      <c r="H129" s="10"/>
    </row>
    <row r="130" spans="2:10" x14ac:dyDescent="0.3">
      <c r="B130" s="33" t="s">
        <v>157</v>
      </c>
      <c r="C130" s="34" t="s">
        <v>428</v>
      </c>
      <c r="D130" s="35" t="s">
        <v>6</v>
      </c>
      <c r="E130" s="36">
        <v>5</v>
      </c>
      <c r="F130" s="36">
        <v>72</v>
      </c>
      <c r="G130" s="37">
        <f t="shared" ref="G130" si="14">IF(E130="","",IF(F130="","",ROUND(E130*F130,2)))</f>
        <v>360</v>
      </c>
      <c r="H130" s="10"/>
      <c r="I130" s="11" t="s">
        <v>429</v>
      </c>
    </row>
    <row r="131" spans="2:10" x14ac:dyDescent="0.3">
      <c r="B131" s="33" t="s">
        <v>158</v>
      </c>
      <c r="C131" s="34" t="s">
        <v>419</v>
      </c>
      <c r="D131" s="35" t="s">
        <v>6</v>
      </c>
      <c r="E131" s="36">
        <v>5</v>
      </c>
      <c r="F131" s="36">
        <v>73</v>
      </c>
      <c r="G131" s="37">
        <f t="shared" si="13"/>
        <v>365</v>
      </c>
      <c r="H131" s="10"/>
    </row>
    <row r="132" spans="2:10" x14ac:dyDescent="0.3">
      <c r="B132" s="33" t="s">
        <v>158</v>
      </c>
      <c r="C132" s="34" t="s">
        <v>420</v>
      </c>
      <c r="D132" s="35" t="s">
        <v>6</v>
      </c>
      <c r="E132" s="36">
        <v>1</v>
      </c>
      <c r="F132" s="36">
        <v>118</v>
      </c>
      <c r="G132" s="37">
        <f t="shared" ref="G132" si="15">IF(E132="","",IF(F132="","",ROUND(E132*F132,2)))</f>
        <v>118</v>
      </c>
      <c r="H132" s="10"/>
    </row>
    <row r="133" spans="2:10" x14ac:dyDescent="0.3">
      <c r="B133" s="33" t="s">
        <v>158</v>
      </c>
      <c r="C133" s="34" t="s">
        <v>421</v>
      </c>
      <c r="D133" s="35" t="s">
        <v>6</v>
      </c>
      <c r="E133" s="36">
        <v>8</v>
      </c>
      <c r="F133" s="36">
        <v>107</v>
      </c>
      <c r="G133" s="37">
        <f t="shared" ref="G133" si="16">IF(E133="","",IF(F133="","",ROUND(E133*F133,2)))</f>
        <v>856</v>
      </c>
      <c r="H133" s="10"/>
    </row>
    <row r="134" spans="2:10" x14ac:dyDescent="0.3">
      <c r="B134" s="33" t="s">
        <v>159</v>
      </c>
      <c r="C134" s="34" t="s">
        <v>417</v>
      </c>
      <c r="D134" s="35" t="s">
        <v>6</v>
      </c>
      <c r="E134" s="36">
        <v>6</v>
      </c>
      <c r="F134" s="36">
        <v>721.5</v>
      </c>
      <c r="G134" s="37">
        <f t="shared" si="13"/>
        <v>4329</v>
      </c>
      <c r="H134" s="10"/>
    </row>
    <row r="135" spans="2:10" x14ac:dyDescent="0.3">
      <c r="B135" s="33" t="s">
        <v>160</v>
      </c>
      <c r="C135" s="34" t="s">
        <v>195</v>
      </c>
      <c r="D135" s="35" t="s">
        <v>13</v>
      </c>
      <c r="E135" s="36">
        <v>104</v>
      </c>
      <c r="F135" s="36">
        <v>92</v>
      </c>
      <c r="G135" s="37">
        <f t="shared" si="13"/>
        <v>9568</v>
      </c>
      <c r="H135" s="10"/>
      <c r="I135" s="49" t="s">
        <v>252</v>
      </c>
    </row>
    <row r="136" spans="2:10" x14ac:dyDescent="0.3">
      <c r="B136" s="33" t="s">
        <v>161</v>
      </c>
      <c r="C136" s="34" t="s">
        <v>196</v>
      </c>
      <c r="D136" s="35" t="s">
        <v>6</v>
      </c>
      <c r="E136" s="36">
        <v>25</v>
      </c>
      <c r="F136" s="36">
        <v>49.4</v>
      </c>
      <c r="G136" s="37">
        <f t="shared" si="13"/>
        <v>1235</v>
      </c>
      <c r="H136" s="10"/>
    </row>
    <row r="137" spans="2:10" x14ac:dyDescent="0.3">
      <c r="B137" s="33" t="s">
        <v>162</v>
      </c>
      <c r="C137" s="34" t="s">
        <v>197</v>
      </c>
      <c r="D137" s="35" t="s">
        <v>6</v>
      </c>
      <c r="E137" s="36">
        <v>28</v>
      </c>
      <c r="F137" s="36">
        <v>174</v>
      </c>
      <c r="G137" s="37">
        <f t="shared" si="13"/>
        <v>4872</v>
      </c>
      <c r="H137" s="10"/>
    </row>
    <row r="138" spans="2:10" x14ac:dyDescent="0.3">
      <c r="B138" s="33" t="s">
        <v>163</v>
      </c>
      <c r="C138" s="34" t="s">
        <v>418</v>
      </c>
      <c r="D138" s="35" t="s">
        <v>6</v>
      </c>
      <c r="E138" s="36">
        <v>16</v>
      </c>
      <c r="F138" s="36">
        <v>235</v>
      </c>
      <c r="G138" s="37">
        <f t="shared" si="13"/>
        <v>3760</v>
      </c>
      <c r="H138" s="10"/>
    </row>
    <row r="139" spans="2:10" x14ac:dyDescent="0.3">
      <c r="B139" s="33" t="s">
        <v>163</v>
      </c>
      <c r="C139" s="34" t="s">
        <v>199</v>
      </c>
      <c r="D139" s="35" t="s">
        <v>6</v>
      </c>
      <c r="E139" s="36">
        <v>11</v>
      </c>
      <c r="F139" s="36">
        <v>161.19999999999999</v>
      </c>
      <c r="G139" s="37">
        <f t="shared" si="13"/>
        <v>1773.2</v>
      </c>
      <c r="H139" s="10"/>
    </row>
    <row r="140" spans="2:10" x14ac:dyDescent="0.3">
      <c r="B140" s="33" t="s">
        <v>201</v>
      </c>
      <c r="C140" s="34" t="s">
        <v>203</v>
      </c>
      <c r="D140" s="35" t="s">
        <v>13</v>
      </c>
      <c r="E140" s="36">
        <v>368</v>
      </c>
      <c r="F140" s="36">
        <v>60.8</v>
      </c>
      <c r="G140" s="37">
        <f t="shared" si="13"/>
        <v>22374.400000000001</v>
      </c>
      <c r="H140" s="10"/>
      <c r="I140" s="49" t="s">
        <v>252</v>
      </c>
      <c r="J140">
        <f>(21*5)+(19*5)+16+20+31+(2*3)+20+31+(2*22)</f>
        <v>368</v>
      </c>
    </row>
    <row r="141" spans="2:10" ht="55.2" x14ac:dyDescent="0.3">
      <c r="B141" s="33" t="s">
        <v>411</v>
      </c>
      <c r="C141" s="34" t="s">
        <v>447</v>
      </c>
      <c r="D141" s="35" t="s">
        <v>6</v>
      </c>
      <c r="E141" s="36">
        <v>1</v>
      </c>
      <c r="F141" s="36">
        <v>127</v>
      </c>
      <c r="G141" s="37">
        <f t="shared" ref="G141" si="17">IF(E141="","",IF(F141="","",ROUND(E141*F141,2)))</f>
        <v>127</v>
      </c>
      <c r="H141" s="10"/>
    </row>
    <row r="142" spans="2:10" x14ac:dyDescent="0.3">
      <c r="B142" s="33" t="s">
        <v>164</v>
      </c>
      <c r="C142" s="34" t="s">
        <v>413</v>
      </c>
      <c r="D142" s="35"/>
      <c r="E142" s="47"/>
      <c r="F142" s="36"/>
      <c r="G142" s="37"/>
      <c r="H142" s="10"/>
    </row>
    <row r="143" spans="2:10" ht="27.6" x14ac:dyDescent="0.3">
      <c r="B143" s="33" t="s">
        <v>414</v>
      </c>
      <c r="C143" s="34" t="s">
        <v>48</v>
      </c>
      <c r="D143" s="35" t="s">
        <v>6</v>
      </c>
      <c r="E143" s="47">
        <v>5</v>
      </c>
      <c r="F143" s="36">
        <v>67</v>
      </c>
      <c r="G143" s="37">
        <f t="shared" si="13"/>
        <v>335</v>
      </c>
      <c r="H143" s="10"/>
      <c r="I143" s="11" t="s">
        <v>193</v>
      </c>
    </row>
    <row r="144" spans="2:10" ht="27.6" x14ac:dyDescent="0.3">
      <c r="B144" s="33" t="s">
        <v>415</v>
      </c>
      <c r="C144" s="34" t="s">
        <v>49</v>
      </c>
      <c r="D144" s="35" t="s">
        <v>6</v>
      </c>
      <c r="E144" s="47">
        <v>59</v>
      </c>
      <c r="F144" s="36">
        <v>67</v>
      </c>
      <c r="G144" s="37">
        <f t="shared" si="13"/>
        <v>3953</v>
      </c>
      <c r="H144" s="10"/>
      <c r="I144" s="11" t="s">
        <v>193</v>
      </c>
    </row>
    <row r="145" spans="2:10" x14ac:dyDescent="0.3">
      <c r="B145" s="33" t="s">
        <v>165</v>
      </c>
      <c r="C145" s="34" t="s">
        <v>426</v>
      </c>
      <c r="D145" s="35"/>
      <c r="E145" s="36"/>
      <c r="F145" s="36"/>
      <c r="G145" s="37"/>
      <c r="H145" s="10"/>
    </row>
    <row r="146" spans="2:10" ht="69" x14ac:dyDescent="0.3">
      <c r="B146" s="33" t="s">
        <v>425</v>
      </c>
      <c r="C146" s="34" t="s">
        <v>427</v>
      </c>
      <c r="D146" s="35" t="s">
        <v>17</v>
      </c>
      <c r="E146" s="36">
        <v>1</v>
      </c>
      <c r="F146" s="36">
        <v>560</v>
      </c>
      <c r="G146" s="37">
        <f t="shared" ref="G146" si="18">IF(E146="","",IF(F146="","",ROUND(E146*F146,2)))</f>
        <v>560</v>
      </c>
      <c r="H146" s="10"/>
      <c r="I146" s="11" t="s">
        <v>193</v>
      </c>
    </row>
    <row r="147" spans="2:10" ht="15.75" customHeight="1" x14ac:dyDescent="0.3">
      <c r="B147" s="33"/>
      <c r="C147" s="34"/>
      <c r="D147" s="35"/>
      <c r="E147" s="36"/>
      <c r="F147" s="36"/>
      <c r="G147" s="37"/>
      <c r="H147" s="10"/>
    </row>
    <row r="148" spans="2:10" x14ac:dyDescent="0.3">
      <c r="B148" s="38" t="s">
        <v>237</v>
      </c>
      <c r="C148" s="39" t="s">
        <v>238</v>
      </c>
      <c r="D148" s="35"/>
      <c r="E148" s="47"/>
      <c r="F148" s="36" t="s">
        <v>11</v>
      </c>
      <c r="G148" s="37" t="str">
        <f t="shared" ref="G148:G156" si="19">IF(E148="","",IF(F148="","",ROUND(E148*F148,2)))</f>
        <v/>
      </c>
      <c r="H148" s="10"/>
      <c r="I148" s="58" t="s">
        <v>412</v>
      </c>
    </row>
    <row r="149" spans="2:10" ht="55.2" x14ac:dyDescent="0.3">
      <c r="B149" s="33" t="s">
        <v>240</v>
      </c>
      <c r="C149" s="34" t="s">
        <v>239</v>
      </c>
      <c r="D149" s="35"/>
      <c r="E149" s="47"/>
      <c r="F149" s="36" t="s">
        <v>11</v>
      </c>
      <c r="G149" s="37" t="str">
        <f t="shared" si="19"/>
        <v/>
      </c>
      <c r="H149" s="10"/>
      <c r="I149" s="54" t="s">
        <v>354</v>
      </c>
      <c r="J149" s="54" t="s">
        <v>355</v>
      </c>
    </row>
    <row r="150" spans="2:10" x14ac:dyDescent="0.3">
      <c r="B150" s="33" t="s">
        <v>241</v>
      </c>
      <c r="C150" s="34" t="s">
        <v>445</v>
      </c>
      <c r="D150" s="35" t="s">
        <v>6</v>
      </c>
      <c r="E150" s="36">
        <v>1</v>
      </c>
      <c r="F150" s="36">
        <v>615</v>
      </c>
      <c r="G150" s="37">
        <f t="shared" ref="G150" si="20">IF(E150="","",IF(F150="","",ROUND(E150*F150,2)))</f>
        <v>615</v>
      </c>
      <c r="H150" s="10"/>
      <c r="I150" s="54">
        <v>1</v>
      </c>
      <c r="J150" s="54">
        <v>9</v>
      </c>
    </row>
    <row r="151" spans="2:10" x14ac:dyDescent="0.3">
      <c r="B151" s="33" t="s">
        <v>241</v>
      </c>
      <c r="C151" s="34" t="s">
        <v>247</v>
      </c>
      <c r="D151" s="35" t="s">
        <v>6</v>
      </c>
      <c r="E151" s="36">
        <v>4</v>
      </c>
      <c r="F151" s="36">
        <f>424*1.25</f>
        <v>530</v>
      </c>
      <c r="G151" s="37">
        <f t="shared" si="19"/>
        <v>2120</v>
      </c>
      <c r="H151" s="10"/>
      <c r="I151" s="54">
        <v>1</v>
      </c>
      <c r="J151" s="54">
        <v>9</v>
      </c>
    </row>
    <row r="152" spans="2:10" x14ac:dyDescent="0.3">
      <c r="B152" s="33" t="s">
        <v>242</v>
      </c>
      <c r="C152" s="34" t="s">
        <v>248</v>
      </c>
      <c r="D152" s="35" t="s">
        <v>6</v>
      </c>
      <c r="E152" s="36">
        <v>5</v>
      </c>
      <c r="F152" s="36">
        <f>286*1.25</f>
        <v>357.5</v>
      </c>
      <c r="G152" s="37">
        <f t="shared" si="19"/>
        <v>1787.5</v>
      </c>
      <c r="H152" s="10"/>
      <c r="I152" s="54">
        <v>1</v>
      </c>
      <c r="J152" s="54">
        <v>3</v>
      </c>
    </row>
    <row r="153" spans="2:10" x14ac:dyDescent="0.3">
      <c r="B153" s="33" t="s">
        <v>243</v>
      </c>
      <c r="C153" s="34" t="s">
        <v>250</v>
      </c>
      <c r="D153" s="35" t="s">
        <v>6</v>
      </c>
      <c r="E153" s="36">
        <v>1</v>
      </c>
      <c r="F153" s="36">
        <f>700*1.25</f>
        <v>875</v>
      </c>
      <c r="G153" s="37">
        <f t="shared" si="19"/>
        <v>875</v>
      </c>
      <c r="H153" s="10"/>
      <c r="J153" s="54">
        <v>1</v>
      </c>
    </row>
    <row r="154" spans="2:10" x14ac:dyDescent="0.3">
      <c r="B154" s="33" t="s">
        <v>244</v>
      </c>
      <c r="C154" s="34" t="s">
        <v>249</v>
      </c>
      <c r="D154" s="35" t="s">
        <v>6</v>
      </c>
      <c r="E154" s="36">
        <v>1</v>
      </c>
      <c r="F154" s="36">
        <f>1480*1.25</f>
        <v>1850</v>
      </c>
      <c r="G154" s="37">
        <f t="shared" si="19"/>
        <v>1850</v>
      </c>
      <c r="H154" s="10"/>
      <c r="J154" s="54">
        <v>1</v>
      </c>
    </row>
    <row r="155" spans="2:10" x14ac:dyDescent="0.3">
      <c r="B155" s="33" t="s">
        <v>245</v>
      </c>
      <c r="C155" s="34" t="s">
        <v>446</v>
      </c>
      <c r="D155" s="35" t="s">
        <v>6</v>
      </c>
      <c r="E155" s="36">
        <v>1</v>
      </c>
      <c r="F155" s="36">
        <f>562*1.25</f>
        <v>702.5</v>
      </c>
      <c r="G155" s="37">
        <f t="shared" si="19"/>
        <v>702.5</v>
      </c>
      <c r="H155" s="10"/>
      <c r="J155" s="54">
        <v>1</v>
      </c>
    </row>
    <row r="156" spans="2:10" ht="69" x14ac:dyDescent="0.3">
      <c r="B156" s="33" t="s">
        <v>246</v>
      </c>
      <c r="C156" s="34" t="s">
        <v>251</v>
      </c>
      <c r="D156" s="35" t="s">
        <v>17</v>
      </c>
      <c r="E156" s="47">
        <v>1</v>
      </c>
      <c r="F156" s="36">
        <v>7460</v>
      </c>
      <c r="G156" s="37">
        <f t="shared" si="19"/>
        <v>7460</v>
      </c>
      <c r="H156" s="10"/>
    </row>
    <row r="157" spans="2:10" ht="15.75" customHeight="1" x14ac:dyDescent="0.3">
      <c r="B157" s="33"/>
      <c r="C157" s="34"/>
      <c r="D157" s="35"/>
      <c r="E157" s="36"/>
      <c r="F157" s="36"/>
      <c r="G157" s="37"/>
      <c r="H157" s="10"/>
    </row>
    <row r="158" spans="2:10" x14ac:dyDescent="0.3">
      <c r="B158" s="38">
        <v>12</v>
      </c>
      <c r="C158" s="39" t="s">
        <v>15</v>
      </c>
      <c r="D158" s="35"/>
      <c r="E158" s="47"/>
      <c r="F158" s="36" t="s">
        <v>11</v>
      </c>
      <c r="G158" s="37" t="str">
        <f t="shared" ref="G158:G164" si="21">IF(E158="","",IF(F158="","",ROUND(E158*F158,2)))</f>
        <v/>
      </c>
      <c r="H158" s="10"/>
    </row>
    <row r="159" spans="2:10" ht="27.6" x14ac:dyDescent="0.3">
      <c r="B159" s="33" t="s">
        <v>166</v>
      </c>
      <c r="C159" s="34" t="s">
        <v>50</v>
      </c>
      <c r="D159" s="35" t="s">
        <v>17</v>
      </c>
      <c r="E159" s="47">
        <v>1</v>
      </c>
      <c r="F159" s="36">
        <v>2350</v>
      </c>
      <c r="G159" s="37">
        <f t="shared" si="21"/>
        <v>2350</v>
      </c>
      <c r="H159" s="10"/>
    </row>
    <row r="160" spans="2:10" ht="27.6" x14ac:dyDescent="0.3">
      <c r="B160" s="33" t="s">
        <v>167</v>
      </c>
      <c r="C160" s="34" t="s">
        <v>51</v>
      </c>
      <c r="D160" s="35" t="s">
        <v>17</v>
      </c>
      <c r="E160" s="47">
        <v>2</v>
      </c>
      <c r="F160" s="36">
        <v>210</v>
      </c>
      <c r="G160" s="37">
        <f t="shared" si="21"/>
        <v>420</v>
      </c>
      <c r="H160" s="10"/>
    </row>
    <row r="161" spans="2:8" ht="82.8" x14ac:dyDescent="0.3">
      <c r="B161" s="33" t="s">
        <v>168</v>
      </c>
      <c r="C161" s="34" t="s">
        <v>423</v>
      </c>
      <c r="D161" s="35" t="s">
        <v>12</v>
      </c>
      <c r="E161" s="47">
        <v>1</v>
      </c>
      <c r="F161" s="36">
        <v>935</v>
      </c>
      <c r="G161" s="37">
        <f t="shared" si="21"/>
        <v>935</v>
      </c>
      <c r="H161" s="10"/>
    </row>
    <row r="162" spans="2:8" ht="27.6" x14ac:dyDescent="0.3">
      <c r="B162" s="33" t="s">
        <v>169</v>
      </c>
      <c r="C162" s="34" t="s">
        <v>97</v>
      </c>
      <c r="D162" s="35" t="s">
        <v>17</v>
      </c>
      <c r="E162" s="47">
        <v>1</v>
      </c>
      <c r="F162" s="36">
        <v>432</v>
      </c>
      <c r="G162" s="37">
        <f t="shared" si="21"/>
        <v>432</v>
      </c>
      <c r="H162" s="10"/>
    </row>
    <row r="163" spans="2:8" x14ac:dyDescent="0.3">
      <c r="B163" s="33" t="s">
        <v>170</v>
      </c>
      <c r="C163" s="34" t="s">
        <v>52</v>
      </c>
      <c r="D163" s="35" t="s">
        <v>14</v>
      </c>
      <c r="E163" s="47">
        <v>1</v>
      </c>
      <c r="F163" s="36">
        <v>325</v>
      </c>
      <c r="G163" s="37">
        <f t="shared" si="21"/>
        <v>325</v>
      </c>
      <c r="H163" s="10"/>
    </row>
    <row r="164" spans="2:8" ht="15.75" customHeight="1" x14ac:dyDescent="0.3">
      <c r="B164" s="33" t="s">
        <v>171</v>
      </c>
      <c r="C164" s="34" t="s">
        <v>53</v>
      </c>
      <c r="D164" s="35" t="s">
        <v>14</v>
      </c>
      <c r="E164" s="47">
        <v>1</v>
      </c>
      <c r="F164" s="36">
        <v>455</v>
      </c>
      <c r="G164" s="37">
        <f t="shared" si="21"/>
        <v>455</v>
      </c>
      <c r="H164" s="10"/>
    </row>
    <row r="165" spans="2:8" ht="15.75" customHeight="1" x14ac:dyDescent="0.3">
      <c r="B165" s="33"/>
      <c r="C165" s="34"/>
      <c r="D165" s="35"/>
      <c r="E165" s="36"/>
      <c r="F165" s="36"/>
      <c r="G165" s="37"/>
      <c r="H165" s="10"/>
    </row>
    <row r="166" spans="2:8" x14ac:dyDescent="0.3">
      <c r="B166" s="28">
        <v>13</v>
      </c>
      <c r="C166" s="29" t="s">
        <v>226</v>
      </c>
      <c r="D166" s="30"/>
      <c r="E166" s="31"/>
      <c r="F166" s="31" t="s">
        <v>11</v>
      </c>
      <c r="G166" s="32" t="str">
        <f t="shared" ref="G166:G178" si="22">IF(E166="","",IF(F166="","",ROUND(E166*F166,2)))</f>
        <v/>
      </c>
      <c r="H166" s="46">
        <f>SUM(G168:G203)</f>
        <v>31608.400000000005</v>
      </c>
    </row>
    <row r="167" spans="2:8" x14ac:dyDescent="0.3">
      <c r="B167" s="33" t="s">
        <v>221</v>
      </c>
      <c r="C167" s="34" t="s">
        <v>270</v>
      </c>
      <c r="D167" s="35"/>
      <c r="E167" s="47"/>
      <c r="F167" s="36"/>
      <c r="G167" s="37" t="str">
        <f>IF(E167="","",IF(F167="","",ROUND(E167*F167,2)))</f>
        <v/>
      </c>
      <c r="H167" s="10"/>
    </row>
    <row r="168" spans="2:8" x14ac:dyDescent="0.3">
      <c r="B168" s="33" t="s">
        <v>253</v>
      </c>
      <c r="C168" s="34" t="s">
        <v>264</v>
      </c>
      <c r="D168" s="35" t="s">
        <v>14</v>
      </c>
      <c r="E168" s="47">
        <v>1</v>
      </c>
      <c r="F168" s="36">
        <v>421.7</v>
      </c>
      <c r="G168" s="37">
        <f t="shared" si="22"/>
        <v>421.7</v>
      </c>
      <c r="H168" s="10"/>
    </row>
    <row r="169" spans="2:8" x14ac:dyDescent="0.3">
      <c r="B169" s="33" t="s">
        <v>254</v>
      </c>
      <c r="C169" s="34" t="s">
        <v>265</v>
      </c>
      <c r="D169" s="35" t="s">
        <v>14</v>
      </c>
      <c r="E169" s="47">
        <v>1</v>
      </c>
      <c r="F169" s="36">
        <v>4931.6499999999996</v>
      </c>
      <c r="G169" s="37">
        <f t="shared" si="22"/>
        <v>4931.6499999999996</v>
      </c>
      <c r="H169" s="10"/>
    </row>
    <row r="170" spans="2:8" x14ac:dyDescent="0.3">
      <c r="B170" s="33" t="s">
        <v>255</v>
      </c>
      <c r="C170" s="34" t="s">
        <v>266</v>
      </c>
      <c r="D170" s="35" t="s">
        <v>14</v>
      </c>
      <c r="E170" s="47">
        <v>1</v>
      </c>
      <c r="F170" s="36">
        <v>34.299999999999997</v>
      </c>
      <c r="G170" s="37">
        <f t="shared" si="22"/>
        <v>34.299999999999997</v>
      </c>
      <c r="H170" s="10"/>
    </row>
    <row r="171" spans="2:8" x14ac:dyDescent="0.3">
      <c r="B171" s="33" t="s">
        <v>256</v>
      </c>
      <c r="C171" s="34" t="s">
        <v>267</v>
      </c>
      <c r="D171" s="35" t="s">
        <v>14</v>
      </c>
      <c r="E171" s="47">
        <v>1</v>
      </c>
      <c r="F171" s="36">
        <v>1371.65</v>
      </c>
      <c r="G171" s="37">
        <f t="shared" si="22"/>
        <v>1371.65</v>
      </c>
      <c r="H171" s="10"/>
    </row>
    <row r="172" spans="2:8" ht="27.6" x14ac:dyDescent="0.3">
      <c r="B172" s="33" t="s">
        <v>257</v>
      </c>
      <c r="C172" s="34" t="s">
        <v>268</v>
      </c>
      <c r="D172" s="35" t="s">
        <v>14</v>
      </c>
      <c r="E172" s="47">
        <v>2</v>
      </c>
      <c r="F172" s="36">
        <v>207.6</v>
      </c>
      <c r="G172" s="37">
        <f t="shared" si="22"/>
        <v>415.2</v>
      </c>
      <c r="H172" s="10"/>
    </row>
    <row r="173" spans="2:8" ht="15.75" customHeight="1" x14ac:dyDescent="0.3">
      <c r="B173" s="33" t="s">
        <v>258</v>
      </c>
      <c r="C173" s="34" t="s">
        <v>269</v>
      </c>
      <c r="D173" s="35" t="s">
        <v>14</v>
      </c>
      <c r="E173" s="47">
        <v>1</v>
      </c>
      <c r="F173" s="36">
        <v>356</v>
      </c>
      <c r="G173" s="37">
        <f t="shared" si="22"/>
        <v>356</v>
      </c>
      <c r="H173" s="10"/>
    </row>
    <row r="174" spans="2:8" ht="27.6" x14ac:dyDescent="0.3">
      <c r="B174" s="33" t="s">
        <v>222</v>
      </c>
      <c r="C174" s="34" t="s">
        <v>271</v>
      </c>
      <c r="D174" s="35"/>
      <c r="E174" s="47"/>
      <c r="F174" s="36"/>
      <c r="G174" s="37" t="str">
        <f t="shared" si="22"/>
        <v/>
      </c>
      <c r="H174" s="10"/>
    </row>
    <row r="175" spans="2:8" x14ac:dyDescent="0.3">
      <c r="B175" s="33" t="s">
        <v>259</v>
      </c>
      <c r="C175" s="34" t="s">
        <v>275</v>
      </c>
      <c r="D175" s="35" t="s">
        <v>14</v>
      </c>
      <c r="E175" s="47">
        <v>1</v>
      </c>
      <c r="F175" s="36">
        <v>698.15</v>
      </c>
      <c r="G175" s="37">
        <f t="shared" si="22"/>
        <v>698.15</v>
      </c>
      <c r="H175" s="10"/>
    </row>
    <row r="176" spans="2:8" x14ac:dyDescent="0.3">
      <c r="B176" s="33" t="s">
        <v>260</v>
      </c>
      <c r="C176" s="34" t="s">
        <v>276</v>
      </c>
      <c r="D176" s="35" t="s">
        <v>14</v>
      </c>
      <c r="E176" s="47">
        <v>1</v>
      </c>
      <c r="F176" s="36">
        <v>237.9</v>
      </c>
      <c r="G176" s="37">
        <f t="shared" si="22"/>
        <v>237.9</v>
      </c>
      <c r="H176" s="10"/>
    </row>
    <row r="177" spans="2:8" x14ac:dyDescent="0.3">
      <c r="B177" s="33" t="s">
        <v>261</v>
      </c>
      <c r="C177" s="34" t="s">
        <v>277</v>
      </c>
      <c r="D177" s="35" t="s">
        <v>14</v>
      </c>
      <c r="E177" s="47">
        <v>2</v>
      </c>
      <c r="F177" s="36">
        <v>289.45</v>
      </c>
      <c r="G177" s="37">
        <f t="shared" si="22"/>
        <v>578.9</v>
      </c>
      <c r="H177" s="10"/>
    </row>
    <row r="178" spans="2:8" ht="15.75" customHeight="1" x14ac:dyDescent="0.3">
      <c r="B178" s="33" t="s">
        <v>262</v>
      </c>
      <c r="C178" s="34" t="s">
        <v>278</v>
      </c>
      <c r="D178" s="35" t="s">
        <v>14</v>
      </c>
      <c r="E178" s="47">
        <v>2</v>
      </c>
      <c r="F178" s="36">
        <v>499.25</v>
      </c>
      <c r="G178" s="37">
        <f t="shared" si="22"/>
        <v>998.5</v>
      </c>
      <c r="H178" s="10"/>
    </row>
    <row r="179" spans="2:8" x14ac:dyDescent="0.3">
      <c r="B179" s="33" t="s">
        <v>263</v>
      </c>
      <c r="C179" s="34" t="s">
        <v>279</v>
      </c>
      <c r="D179" s="35" t="s">
        <v>14</v>
      </c>
      <c r="E179" s="47">
        <v>1</v>
      </c>
      <c r="F179" s="36">
        <v>416.8</v>
      </c>
      <c r="G179" s="37">
        <f>IF(E179="","",IF(F179="","",ROUND(E179*F179,2)))</f>
        <v>416.8</v>
      </c>
      <c r="H179" s="10"/>
    </row>
    <row r="180" spans="2:8" x14ac:dyDescent="0.3">
      <c r="B180" s="33" t="s">
        <v>272</v>
      </c>
      <c r="C180" s="34" t="s">
        <v>281</v>
      </c>
      <c r="D180" s="35" t="s">
        <v>14</v>
      </c>
      <c r="E180" s="47">
        <v>1</v>
      </c>
      <c r="F180" s="36">
        <v>138.6</v>
      </c>
      <c r="G180" s="37">
        <f t="shared" ref="G180:G188" si="23">IF(E180="","",IF(F180="","",ROUND(E180*F180,2)))</f>
        <v>138.6</v>
      </c>
      <c r="H180" s="10"/>
    </row>
    <row r="181" spans="2:8" ht="27.6" x14ac:dyDescent="0.3">
      <c r="B181" s="33" t="s">
        <v>273</v>
      </c>
      <c r="C181" s="34" t="s">
        <v>280</v>
      </c>
      <c r="D181" s="35" t="s">
        <v>14</v>
      </c>
      <c r="E181" s="47">
        <v>1</v>
      </c>
      <c r="F181" s="36">
        <v>1716.95</v>
      </c>
      <c r="G181" s="37">
        <f>IF(E181="","",IF(F181="","",ROUND(E181*F181,2)))</f>
        <v>1716.95</v>
      </c>
      <c r="H181" s="10"/>
    </row>
    <row r="182" spans="2:8" ht="15.75" customHeight="1" x14ac:dyDescent="0.3">
      <c r="B182" s="33" t="s">
        <v>274</v>
      </c>
      <c r="C182" s="34" t="s">
        <v>282</v>
      </c>
      <c r="D182" s="35" t="s">
        <v>14</v>
      </c>
      <c r="E182" s="47">
        <v>1</v>
      </c>
      <c r="F182" s="36">
        <v>486.35</v>
      </c>
      <c r="G182" s="37">
        <f>IF(E182="","",IF(F182="","",ROUND(E182*F182,2)))</f>
        <v>486.35</v>
      </c>
      <c r="H182" s="10"/>
    </row>
    <row r="183" spans="2:8" ht="15.75" customHeight="1" x14ac:dyDescent="0.3">
      <c r="B183" s="33" t="s">
        <v>223</v>
      </c>
      <c r="C183" s="34" t="s">
        <v>288</v>
      </c>
      <c r="D183" s="35"/>
      <c r="E183" s="47"/>
      <c r="F183" s="36"/>
      <c r="G183" s="37" t="str">
        <f>IF(E183="","",IF(F183="","",ROUND(E183*F183,2)))</f>
        <v/>
      </c>
      <c r="H183" s="10"/>
    </row>
    <row r="184" spans="2:8" ht="27.6" x14ac:dyDescent="0.3">
      <c r="B184" s="33" t="s">
        <v>283</v>
      </c>
      <c r="C184" s="34" t="s">
        <v>305</v>
      </c>
      <c r="D184" s="35" t="s">
        <v>14</v>
      </c>
      <c r="E184" s="47">
        <v>8</v>
      </c>
      <c r="F184" s="36">
        <v>247.55</v>
      </c>
      <c r="G184" s="37">
        <f>IF(E184="","",IF(F184="","",ROUND(E184*F184,2)))</f>
        <v>1980.4</v>
      </c>
      <c r="H184" s="10"/>
    </row>
    <row r="185" spans="2:8" ht="27.6" x14ac:dyDescent="0.3">
      <c r="B185" s="33" t="s">
        <v>284</v>
      </c>
      <c r="C185" s="34" t="s">
        <v>306</v>
      </c>
      <c r="D185" s="35" t="s">
        <v>14</v>
      </c>
      <c r="E185" s="47">
        <v>6</v>
      </c>
      <c r="F185" s="36">
        <v>477.95</v>
      </c>
      <c r="G185" s="37">
        <f>IF(E185="","",IF(F185="","",ROUND(E185*F185,2)))</f>
        <v>2867.7</v>
      </c>
      <c r="H185" s="10"/>
    </row>
    <row r="186" spans="2:8" x14ac:dyDescent="0.3">
      <c r="B186" s="33" t="s">
        <v>285</v>
      </c>
      <c r="C186" s="34" t="s">
        <v>307</v>
      </c>
      <c r="D186" s="35" t="s">
        <v>14</v>
      </c>
      <c r="E186" s="47">
        <v>1</v>
      </c>
      <c r="F186" s="36">
        <v>2074.65</v>
      </c>
      <c r="G186" s="37">
        <f t="shared" si="23"/>
        <v>2074.65</v>
      </c>
      <c r="H186" s="10"/>
    </row>
    <row r="187" spans="2:8" x14ac:dyDescent="0.3">
      <c r="B187" s="33" t="s">
        <v>286</v>
      </c>
      <c r="C187" s="34" t="s">
        <v>308</v>
      </c>
      <c r="D187" s="35" t="s">
        <v>14</v>
      </c>
      <c r="E187" s="47">
        <v>1</v>
      </c>
      <c r="F187" s="36">
        <v>107.45</v>
      </c>
      <c r="G187" s="37">
        <f t="shared" si="23"/>
        <v>107.45</v>
      </c>
      <c r="H187" s="10"/>
    </row>
    <row r="188" spans="2:8" ht="27.6" x14ac:dyDescent="0.3">
      <c r="B188" s="33" t="s">
        <v>287</v>
      </c>
      <c r="C188" s="34" t="s">
        <v>309</v>
      </c>
      <c r="D188" s="35" t="s">
        <v>14</v>
      </c>
      <c r="E188" s="47">
        <v>5</v>
      </c>
      <c r="F188" s="36">
        <v>7.65</v>
      </c>
      <c r="G188" s="37">
        <f t="shared" si="23"/>
        <v>38.25</v>
      </c>
      <c r="H188" s="10"/>
    </row>
    <row r="189" spans="2:8" ht="27.6" x14ac:dyDescent="0.3">
      <c r="B189" s="33" t="s">
        <v>289</v>
      </c>
      <c r="C189" s="34" t="s">
        <v>310</v>
      </c>
      <c r="D189" s="35" t="s">
        <v>14</v>
      </c>
      <c r="E189" s="47">
        <v>7</v>
      </c>
      <c r="F189" s="36">
        <v>8.6999999999999993</v>
      </c>
      <c r="G189" s="37">
        <f t="shared" ref="G189:G203" si="24">IF(E189="","",IF(F189="","",ROUND(E189*F189,2)))</f>
        <v>60.9</v>
      </c>
      <c r="H189" s="10"/>
    </row>
    <row r="190" spans="2:8" ht="27.6" x14ac:dyDescent="0.3">
      <c r="B190" s="33" t="s">
        <v>290</v>
      </c>
      <c r="C190" s="34" t="s">
        <v>311</v>
      </c>
      <c r="D190" s="35" t="s">
        <v>14</v>
      </c>
      <c r="E190" s="47">
        <v>2</v>
      </c>
      <c r="F190" s="36">
        <v>10.85</v>
      </c>
      <c r="G190" s="37">
        <f t="shared" si="24"/>
        <v>21.7</v>
      </c>
      <c r="H190" s="10"/>
    </row>
    <row r="191" spans="2:8" x14ac:dyDescent="0.3">
      <c r="B191" s="33" t="s">
        <v>291</v>
      </c>
      <c r="C191" s="34" t="s">
        <v>312</v>
      </c>
      <c r="D191" s="35" t="s">
        <v>14</v>
      </c>
      <c r="E191" s="47">
        <v>4</v>
      </c>
      <c r="F191" s="36">
        <v>169.6</v>
      </c>
      <c r="G191" s="37">
        <f t="shared" si="24"/>
        <v>678.4</v>
      </c>
      <c r="H191" s="10"/>
    </row>
    <row r="192" spans="2:8" ht="27.6" x14ac:dyDescent="0.3">
      <c r="B192" s="33" t="s">
        <v>292</v>
      </c>
      <c r="C192" s="34" t="s">
        <v>313</v>
      </c>
      <c r="D192" s="35" t="s">
        <v>14</v>
      </c>
      <c r="E192" s="47">
        <v>1</v>
      </c>
      <c r="F192" s="36">
        <v>1987</v>
      </c>
      <c r="G192" s="37">
        <f t="shared" si="24"/>
        <v>1987</v>
      </c>
      <c r="H192" s="10"/>
    </row>
    <row r="193" spans="2:9" ht="27.6" x14ac:dyDescent="0.3">
      <c r="B193" s="33" t="s">
        <v>293</v>
      </c>
      <c r="C193" s="34" t="s">
        <v>314</v>
      </c>
      <c r="D193" s="35" t="s">
        <v>14</v>
      </c>
      <c r="E193" s="47">
        <v>1</v>
      </c>
      <c r="F193" s="36">
        <v>208.7</v>
      </c>
      <c r="G193" s="37">
        <f t="shared" si="24"/>
        <v>208.7</v>
      </c>
      <c r="H193" s="10"/>
    </row>
    <row r="194" spans="2:9" x14ac:dyDescent="0.3">
      <c r="B194" s="33" t="s">
        <v>294</v>
      </c>
      <c r="C194" s="34" t="s">
        <v>315</v>
      </c>
      <c r="D194" s="35" t="s">
        <v>13</v>
      </c>
      <c r="E194" s="47">
        <v>40</v>
      </c>
      <c r="F194" s="36">
        <v>1.75</v>
      </c>
      <c r="G194" s="37">
        <f t="shared" si="24"/>
        <v>70</v>
      </c>
      <c r="H194" s="10"/>
    </row>
    <row r="195" spans="2:9" x14ac:dyDescent="0.3">
      <c r="B195" s="33" t="s">
        <v>224</v>
      </c>
      <c r="C195" s="34" t="s">
        <v>295</v>
      </c>
      <c r="D195" s="35"/>
      <c r="E195" s="47"/>
      <c r="F195" s="36"/>
      <c r="G195" s="37" t="str">
        <f t="shared" si="24"/>
        <v/>
      </c>
      <c r="H195" s="10"/>
    </row>
    <row r="196" spans="2:9" x14ac:dyDescent="0.3">
      <c r="B196" s="33" t="s">
        <v>296</v>
      </c>
      <c r="C196" s="34" t="s">
        <v>316</v>
      </c>
      <c r="D196" s="35" t="s">
        <v>14</v>
      </c>
      <c r="E196" s="47">
        <v>1</v>
      </c>
      <c r="F196" s="36">
        <v>794</v>
      </c>
      <c r="G196" s="37">
        <f t="shared" si="24"/>
        <v>794</v>
      </c>
      <c r="H196" s="10"/>
    </row>
    <row r="197" spans="2:9" ht="27.6" x14ac:dyDescent="0.3">
      <c r="B197" s="33" t="s">
        <v>297</v>
      </c>
      <c r="C197" s="34" t="s">
        <v>317</v>
      </c>
      <c r="D197" s="35" t="s">
        <v>14</v>
      </c>
      <c r="E197" s="47">
        <v>1</v>
      </c>
      <c r="F197" s="36">
        <v>98.5</v>
      </c>
      <c r="G197" s="37">
        <f t="shared" si="24"/>
        <v>98.5</v>
      </c>
      <c r="H197" s="10"/>
    </row>
    <row r="198" spans="2:9" x14ac:dyDescent="0.3">
      <c r="B198" s="33" t="s">
        <v>298</v>
      </c>
      <c r="C198" s="34" t="s">
        <v>318</v>
      </c>
      <c r="D198" s="35" t="s">
        <v>14</v>
      </c>
      <c r="E198" s="47">
        <v>1</v>
      </c>
      <c r="F198" s="36">
        <v>41.6</v>
      </c>
      <c r="G198" s="37">
        <f t="shared" si="24"/>
        <v>41.6</v>
      </c>
      <c r="H198" s="10"/>
    </row>
    <row r="199" spans="2:9" ht="27.6" x14ac:dyDescent="0.3">
      <c r="B199" s="33" t="s">
        <v>299</v>
      </c>
      <c r="C199" s="34" t="s">
        <v>319</v>
      </c>
      <c r="D199" s="35" t="s">
        <v>14</v>
      </c>
      <c r="E199" s="47">
        <v>1</v>
      </c>
      <c r="F199" s="36">
        <v>1062</v>
      </c>
      <c r="G199" s="37">
        <f t="shared" si="24"/>
        <v>1062</v>
      </c>
      <c r="H199" s="10"/>
    </row>
    <row r="200" spans="2:9" x14ac:dyDescent="0.3">
      <c r="B200" s="33" t="s">
        <v>300</v>
      </c>
      <c r="C200" s="34" t="s">
        <v>320</v>
      </c>
      <c r="D200" s="35" t="s">
        <v>14</v>
      </c>
      <c r="E200" s="47">
        <v>1</v>
      </c>
      <c r="F200" s="36">
        <v>149.5</v>
      </c>
      <c r="G200" s="37">
        <f t="shared" si="24"/>
        <v>149.5</v>
      </c>
      <c r="H200" s="10"/>
    </row>
    <row r="201" spans="2:9" x14ac:dyDescent="0.3">
      <c r="B201" s="38" t="s">
        <v>225</v>
      </c>
      <c r="C201" s="39" t="s">
        <v>321</v>
      </c>
      <c r="D201" s="35" t="s">
        <v>14</v>
      </c>
      <c r="E201" s="47" t="s">
        <v>322</v>
      </c>
      <c r="F201" s="36"/>
      <c r="G201" s="37" t="str">
        <f t="shared" si="24"/>
        <v/>
      </c>
      <c r="H201" s="10"/>
    </row>
    <row r="202" spans="2:9" ht="27.6" x14ac:dyDescent="0.3">
      <c r="B202" s="33" t="s">
        <v>301</v>
      </c>
      <c r="C202" s="34" t="s">
        <v>303</v>
      </c>
      <c r="D202" s="35" t="s">
        <v>14</v>
      </c>
      <c r="E202" s="47">
        <v>1</v>
      </c>
      <c r="F202" s="36">
        <v>735</v>
      </c>
      <c r="G202" s="37">
        <f t="shared" si="24"/>
        <v>735</v>
      </c>
      <c r="H202" s="10"/>
    </row>
    <row r="203" spans="2:9" ht="28.95" customHeight="1" x14ac:dyDescent="0.3">
      <c r="B203" s="33" t="s">
        <v>302</v>
      </c>
      <c r="C203" s="34" t="s">
        <v>304</v>
      </c>
      <c r="D203" s="35" t="s">
        <v>14</v>
      </c>
      <c r="E203" s="47">
        <v>1</v>
      </c>
      <c r="F203" s="36">
        <v>5830</v>
      </c>
      <c r="G203" s="37">
        <f t="shared" si="24"/>
        <v>5830</v>
      </c>
      <c r="H203" s="10"/>
    </row>
    <row r="204" spans="2:9" ht="15.75" customHeight="1" x14ac:dyDescent="0.3">
      <c r="B204" s="33"/>
      <c r="C204" s="34"/>
      <c r="D204" s="35"/>
      <c r="E204" s="36"/>
      <c r="F204" s="36"/>
      <c r="G204" s="37"/>
      <c r="H204" s="10"/>
    </row>
    <row r="205" spans="2:9" s="56" customFormat="1" ht="13.8" x14ac:dyDescent="0.3">
      <c r="B205" s="28">
        <v>9</v>
      </c>
      <c r="C205" s="29" t="s">
        <v>363</v>
      </c>
      <c r="D205" s="30" t="s">
        <v>11</v>
      </c>
      <c r="E205" s="30" t="s">
        <v>11</v>
      </c>
      <c r="F205" s="30" t="s">
        <v>11</v>
      </c>
      <c r="G205" s="30" t="s">
        <v>11</v>
      </c>
      <c r="H205" s="46">
        <f>SUM(G206:G222)</f>
        <v>16730.650000000001</v>
      </c>
      <c r="I205" s="55"/>
    </row>
    <row r="206" spans="2:9" s="56" customFormat="1" ht="27.6" x14ac:dyDescent="0.3">
      <c r="B206" s="33" t="s">
        <v>54</v>
      </c>
      <c r="C206" s="34" t="s">
        <v>364</v>
      </c>
      <c r="D206" s="35" t="s">
        <v>14</v>
      </c>
      <c r="E206" s="36">
        <v>40</v>
      </c>
      <c r="F206" s="36">
        <v>128</v>
      </c>
      <c r="G206" s="37">
        <f t="shared" ref="G206:G222" si="25">IF(F206&gt;0,ROUND(E206*F206,2),"")</f>
        <v>5120</v>
      </c>
      <c r="H206" s="34"/>
      <c r="I206" s="55"/>
    </row>
    <row r="207" spans="2:9" s="56" customFormat="1" ht="13.8" x14ac:dyDescent="0.3">
      <c r="B207" s="33" t="s">
        <v>55</v>
      </c>
      <c r="C207" s="34" t="s">
        <v>397</v>
      </c>
      <c r="D207" s="35" t="s">
        <v>14</v>
      </c>
      <c r="E207" s="36">
        <v>6</v>
      </c>
      <c r="F207" s="36">
        <v>4.5</v>
      </c>
      <c r="G207" s="37">
        <f t="shared" si="25"/>
        <v>27</v>
      </c>
      <c r="H207" s="34"/>
      <c r="I207" s="55"/>
    </row>
    <row r="208" spans="2:9" s="56" customFormat="1" ht="24.75" customHeight="1" x14ac:dyDescent="0.3">
      <c r="B208" s="33" t="s">
        <v>365</v>
      </c>
      <c r="C208" s="34" t="s">
        <v>366</v>
      </c>
      <c r="D208" s="35" t="s">
        <v>14</v>
      </c>
      <c r="E208" s="36">
        <v>1</v>
      </c>
      <c r="F208" s="36">
        <v>3690</v>
      </c>
      <c r="G208" s="37">
        <f t="shared" si="25"/>
        <v>3690</v>
      </c>
      <c r="H208" s="34"/>
      <c r="I208" s="55"/>
    </row>
    <row r="209" spans="2:10" s="56" customFormat="1" ht="43.5" customHeight="1" x14ac:dyDescent="0.3">
      <c r="B209" s="33" t="s">
        <v>367</v>
      </c>
      <c r="C209" s="34" t="s">
        <v>402</v>
      </c>
      <c r="D209" s="35" t="s">
        <v>368</v>
      </c>
      <c r="E209" s="36">
        <v>1</v>
      </c>
      <c r="F209" s="36">
        <v>470</v>
      </c>
      <c r="G209" s="37">
        <f t="shared" si="25"/>
        <v>470</v>
      </c>
      <c r="H209" s="34"/>
      <c r="I209" s="55"/>
    </row>
    <row r="210" spans="2:10" s="56" customFormat="1" ht="39" customHeight="1" x14ac:dyDescent="0.3">
      <c r="B210" s="33" t="s">
        <v>369</v>
      </c>
      <c r="C210" s="34" t="s">
        <v>396</v>
      </c>
      <c r="D210" s="35" t="s">
        <v>12</v>
      </c>
      <c r="E210" s="36">
        <v>1</v>
      </c>
      <c r="F210" s="36">
        <v>4375</v>
      </c>
      <c r="G210" s="37">
        <f t="shared" si="25"/>
        <v>4375</v>
      </c>
      <c r="H210" s="34"/>
      <c r="I210" s="55" t="s">
        <v>370</v>
      </c>
      <c r="J210" s="56">
        <f>F210/40</f>
        <v>109.375</v>
      </c>
    </row>
    <row r="211" spans="2:10" s="56" customFormat="1" ht="43.5" customHeight="1" x14ac:dyDescent="0.3">
      <c r="B211" s="33" t="s">
        <v>371</v>
      </c>
      <c r="C211" s="34" t="s">
        <v>372</v>
      </c>
      <c r="D211" s="35" t="s">
        <v>368</v>
      </c>
      <c r="E211" s="36">
        <v>1</v>
      </c>
      <c r="F211" s="36">
        <v>335</v>
      </c>
      <c r="G211" s="37">
        <f t="shared" si="25"/>
        <v>335</v>
      </c>
      <c r="H211" s="34"/>
      <c r="I211" s="55"/>
    </row>
    <row r="212" spans="2:10" s="56" customFormat="1" ht="43.5" customHeight="1" x14ac:dyDescent="0.3">
      <c r="B212" s="33" t="s">
        <v>373</v>
      </c>
      <c r="C212" s="34" t="s">
        <v>374</v>
      </c>
      <c r="D212" s="35" t="s">
        <v>368</v>
      </c>
      <c r="E212" s="36">
        <v>1</v>
      </c>
      <c r="F212" s="36">
        <v>945</v>
      </c>
      <c r="G212" s="37">
        <f t="shared" si="25"/>
        <v>945</v>
      </c>
      <c r="H212" s="34"/>
      <c r="I212" s="55"/>
    </row>
    <row r="213" spans="2:10" s="56" customFormat="1" ht="54.75" customHeight="1" x14ac:dyDescent="0.3">
      <c r="B213" s="33" t="s">
        <v>401</v>
      </c>
      <c r="C213" s="34" t="s">
        <v>403</v>
      </c>
      <c r="D213" s="35" t="s">
        <v>368</v>
      </c>
      <c r="E213" s="36">
        <v>1</v>
      </c>
      <c r="F213" s="36">
        <v>680</v>
      </c>
      <c r="G213" s="37">
        <f t="shared" ref="G213" si="26">IF(F213&gt;0,ROUND(E213*F213,2),"")</f>
        <v>680</v>
      </c>
      <c r="H213" s="34"/>
      <c r="I213" s="55"/>
    </row>
    <row r="214" spans="2:10" s="56" customFormat="1" ht="13.8" x14ac:dyDescent="0.3">
      <c r="B214" s="38" t="s">
        <v>371</v>
      </c>
      <c r="C214" s="39" t="s">
        <v>375</v>
      </c>
      <c r="D214" s="35" t="s">
        <v>11</v>
      </c>
      <c r="E214" s="36"/>
      <c r="F214" s="36"/>
      <c r="G214" s="37" t="str">
        <f t="shared" si="25"/>
        <v/>
      </c>
      <c r="H214" s="34"/>
      <c r="I214" s="55"/>
    </row>
    <row r="215" spans="2:10" s="56" customFormat="1" ht="41.4" x14ac:dyDescent="0.3">
      <c r="B215" s="33" t="s">
        <v>376</v>
      </c>
      <c r="C215" s="34" t="s">
        <v>377</v>
      </c>
      <c r="D215" s="35" t="s">
        <v>13</v>
      </c>
      <c r="E215" s="36">
        <v>95</v>
      </c>
      <c r="F215" s="36">
        <v>1.7</v>
      </c>
      <c r="G215" s="37">
        <f t="shared" si="25"/>
        <v>161.5</v>
      </c>
      <c r="H215" s="34"/>
      <c r="I215" s="55"/>
    </row>
    <row r="216" spans="2:10" s="56" customFormat="1" ht="13.8" x14ac:dyDescent="0.3">
      <c r="B216" s="33" t="s">
        <v>378</v>
      </c>
      <c r="C216" s="34" t="s">
        <v>379</v>
      </c>
      <c r="D216" s="35" t="s">
        <v>13</v>
      </c>
      <c r="E216" s="36">
        <v>185</v>
      </c>
      <c r="F216" s="36">
        <v>2</v>
      </c>
      <c r="G216" s="37">
        <f t="shared" si="25"/>
        <v>370</v>
      </c>
      <c r="H216" s="34"/>
      <c r="I216" s="55"/>
    </row>
    <row r="217" spans="2:10" s="56" customFormat="1" ht="13.8" x14ac:dyDescent="0.3">
      <c r="B217" s="33" t="s">
        <v>380</v>
      </c>
      <c r="C217" s="34" t="s">
        <v>381</v>
      </c>
      <c r="D217" s="35" t="s">
        <v>13</v>
      </c>
      <c r="E217" s="36">
        <v>185</v>
      </c>
      <c r="F217" s="36">
        <v>2</v>
      </c>
      <c r="G217" s="37">
        <f t="shared" si="25"/>
        <v>370</v>
      </c>
      <c r="H217" s="34"/>
      <c r="I217" s="57"/>
    </row>
    <row r="218" spans="2:10" s="56" customFormat="1" ht="13.8" x14ac:dyDescent="0.3">
      <c r="B218" s="33" t="s">
        <v>382</v>
      </c>
      <c r="C218" s="34" t="s">
        <v>405</v>
      </c>
      <c r="D218" s="35" t="s">
        <v>13</v>
      </c>
      <c r="E218" s="36">
        <v>3</v>
      </c>
      <c r="F218" s="36">
        <v>14.75</v>
      </c>
      <c r="G218" s="37">
        <f t="shared" si="25"/>
        <v>44.25</v>
      </c>
      <c r="H218" s="34"/>
      <c r="I218" s="57"/>
    </row>
    <row r="219" spans="2:10" s="56" customFormat="1" ht="13.8" x14ac:dyDescent="0.3">
      <c r="B219" s="33" t="s">
        <v>373</v>
      </c>
      <c r="C219" s="34" t="s">
        <v>383</v>
      </c>
      <c r="D219" s="35" t="s">
        <v>11</v>
      </c>
      <c r="E219" s="36"/>
      <c r="F219" s="36"/>
      <c r="G219" s="37" t="str">
        <f t="shared" si="25"/>
        <v/>
      </c>
      <c r="H219" s="34"/>
      <c r="I219" s="57"/>
    </row>
    <row r="220" spans="2:10" s="56" customFormat="1" ht="13.8" x14ac:dyDescent="0.3">
      <c r="B220" s="33" t="s">
        <v>384</v>
      </c>
      <c r="C220" s="34" t="s">
        <v>385</v>
      </c>
      <c r="D220" s="35" t="s">
        <v>13</v>
      </c>
      <c r="E220" s="36">
        <v>25</v>
      </c>
      <c r="F220" s="36">
        <v>2.5</v>
      </c>
      <c r="G220" s="37">
        <f t="shared" si="25"/>
        <v>62.5</v>
      </c>
      <c r="H220" s="34"/>
      <c r="I220" s="55"/>
    </row>
    <row r="221" spans="2:10" s="56" customFormat="1" ht="13.8" x14ac:dyDescent="0.3">
      <c r="B221" s="33" t="s">
        <v>386</v>
      </c>
      <c r="C221" s="34" t="s">
        <v>387</v>
      </c>
      <c r="D221" s="35" t="s">
        <v>13</v>
      </c>
      <c r="E221" s="36">
        <v>20</v>
      </c>
      <c r="F221" s="36">
        <v>2.9</v>
      </c>
      <c r="G221" s="37">
        <f t="shared" si="25"/>
        <v>58</v>
      </c>
      <c r="H221" s="34"/>
      <c r="I221" s="55"/>
    </row>
    <row r="222" spans="2:10" s="56" customFormat="1" ht="13.8" x14ac:dyDescent="0.3">
      <c r="B222" s="33" t="s">
        <v>386</v>
      </c>
      <c r="C222" s="34" t="s">
        <v>388</v>
      </c>
      <c r="D222" s="35" t="s">
        <v>13</v>
      </c>
      <c r="E222" s="36">
        <v>7</v>
      </c>
      <c r="F222" s="36">
        <v>3.2</v>
      </c>
      <c r="G222" s="37">
        <f t="shared" si="25"/>
        <v>22.4</v>
      </c>
      <c r="H222" s="34"/>
      <c r="I222" s="55"/>
    </row>
    <row r="223" spans="2:10" ht="15.75" customHeight="1" x14ac:dyDescent="0.3">
      <c r="B223" s="33"/>
      <c r="C223" s="34"/>
      <c r="D223" s="35"/>
      <c r="E223" s="36"/>
      <c r="F223" s="36"/>
      <c r="G223" s="37"/>
      <c r="H223" s="10"/>
    </row>
    <row r="224" spans="2:10" x14ac:dyDescent="0.3">
      <c r="B224" s="28">
        <v>10</v>
      </c>
      <c r="C224" s="29" t="s">
        <v>389</v>
      </c>
      <c r="D224" s="30"/>
      <c r="E224" s="31"/>
      <c r="F224" s="31" t="s">
        <v>11</v>
      </c>
      <c r="G224" s="32" t="str">
        <f t="shared" ref="G224:G225" si="27">IF(E224="","",IF(F224="","",ROUND(E224*F224,2)))</f>
        <v/>
      </c>
      <c r="H224" s="46">
        <f>SUM(G225:G241)</f>
        <v>14902.37</v>
      </c>
      <c r="I224" t="s">
        <v>390</v>
      </c>
    </row>
    <row r="225" spans="2:9" x14ac:dyDescent="0.3">
      <c r="B225" s="38" t="s">
        <v>59</v>
      </c>
      <c r="C225" s="39" t="s">
        <v>76</v>
      </c>
      <c r="D225" s="35"/>
      <c r="E225" s="36"/>
      <c r="F225" s="36" t="s">
        <v>11</v>
      </c>
      <c r="G225" s="37" t="str">
        <f t="shared" si="27"/>
        <v/>
      </c>
      <c r="H225" s="37"/>
      <c r="I225"/>
    </row>
    <row r="226" spans="2:9" ht="41.4" x14ac:dyDescent="0.3">
      <c r="B226" s="33" t="s">
        <v>61</v>
      </c>
      <c r="C226" s="34" t="s">
        <v>391</v>
      </c>
      <c r="D226" s="35"/>
      <c r="E226" s="36"/>
      <c r="F226" s="36" t="s">
        <v>11</v>
      </c>
      <c r="G226" s="37"/>
      <c r="H226" s="37"/>
      <c r="I226"/>
    </row>
    <row r="227" spans="2:9" x14ac:dyDescent="0.3">
      <c r="B227" s="33" t="s">
        <v>63</v>
      </c>
      <c r="C227" s="34" t="s">
        <v>392</v>
      </c>
      <c r="D227" s="35" t="s">
        <v>13</v>
      </c>
      <c r="E227" s="36">
        <v>115</v>
      </c>
      <c r="F227" s="36">
        <v>3.45</v>
      </c>
      <c r="G227" s="37">
        <f t="shared" ref="G227:G234" si="28">IF(F227&gt;0,ROUND(E227*F227,2),"")</f>
        <v>396.75</v>
      </c>
      <c r="H227" s="37"/>
      <c r="I227"/>
    </row>
    <row r="228" spans="2:9" x14ac:dyDescent="0.3">
      <c r="B228" s="38" t="s">
        <v>123</v>
      </c>
      <c r="C228" s="39" t="s">
        <v>57</v>
      </c>
      <c r="D228" s="35"/>
      <c r="E228" s="36"/>
      <c r="F228" s="36" t="s">
        <v>11</v>
      </c>
      <c r="G228" s="37"/>
      <c r="H228" s="37"/>
      <c r="I228"/>
    </row>
    <row r="229" spans="2:9" ht="27.6" x14ac:dyDescent="0.3">
      <c r="B229" s="33" t="s">
        <v>124</v>
      </c>
      <c r="C229" s="34" t="s">
        <v>393</v>
      </c>
      <c r="D229" s="35"/>
      <c r="E229" s="36"/>
      <c r="F229" s="36" t="s">
        <v>11</v>
      </c>
      <c r="G229" s="37"/>
      <c r="H229" s="37"/>
      <c r="I229"/>
    </row>
    <row r="230" spans="2:9" x14ac:dyDescent="0.3">
      <c r="B230" s="33" t="s">
        <v>125</v>
      </c>
      <c r="C230" s="34" t="s">
        <v>404</v>
      </c>
      <c r="D230" s="35" t="s">
        <v>13</v>
      </c>
      <c r="E230" s="36">
        <v>125</v>
      </c>
      <c r="F230" s="36">
        <v>18.899999999999999</v>
      </c>
      <c r="G230" s="37">
        <f t="shared" si="28"/>
        <v>2362.5</v>
      </c>
      <c r="H230" s="37"/>
      <c r="I230"/>
    </row>
    <row r="231" spans="2:9" x14ac:dyDescent="0.3">
      <c r="B231" s="38" t="s">
        <v>129</v>
      </c>
      <c r="C231" s="39" t="s">
        <v>62</v>
      </c>
      <c r="D231" s="35"/>
      <c r="E231" s="36"/>
      <c r="F231" s="36" t="s">
        <v>11</v>
      </c>
      <c r="G231" s="37"/>
      <c r="H231" s="37"/>
      <c r="I231"/>
    </row>
    <row r="232" spans="2:9" ht="40.5" customHeight="1" x14ac:dyDescent="0.3">
      <c r="B232" s="33" t="s">
        <v>130</v>
      </c>
      <c r="C232" s="34" t="s">
        <v>395</v>
      </c>
      <c r="D232" s="35" t="s">
        <v>14</v>
      </c>
      <c r="E232" s="36">
        <v>3</v>
      </c>
      <c r="F232" s="36">
        <v>475</v>
      </c>
      <c r="G232" s="37">
        <f t="shared" si="28"/>
        <v>1425</v>
      </c>
      <c r="H232" s="37"/>
      <c r="I232"/>
    </row>
    <row r="233" spans="2:9" ht="69.75" customHeight="1" x14ac:dyDescent="0.3">
      <c r="B233" s="33" t="s">
        <v>131</v>
      </c>
      <c r="C233" s="34" t="s">
        <v>424</v>
      </c>
      <c r="D233" s="35" t="s">
        <v>14</v>
      </c>
      <c r="E233" s="36">
        <v>5</v>
      </c>
      <c r="F233" s="36">
        <v>865</v>
      </c>
      <c r="G233" s="37">
        <f t="shared" si="28"/>
        <v>4325</v>
      </c>
      <c r="H233" s="37"/>
      <c r="I233"/>
    </row>
    <row r="234" spans="2:9" x14ac:dyDescent="0.3">
      <c r="B234" s="33" t="s">
        <v>132</v>
      </c>
      <c r="C234" s="34" t="s">
        <v>394</v>
      </c>
      <c r="D234" s="35" t="s">
        <v>14</v>
      </c>
      <c r="E234" s="36">
        <v>1</v>
      </c>
      <c r="F234" s="36">
        <v>930</v>
      </c>
      <c r="G234" s="37">
        <f t="shared" si="28"/>
        <v>930</v>
      </c>
      <c r="H234" s="37"/>
      <c r="I234"/>
    </row>
    <row r="235" spans="2:9" ht="15.75" customHeight="1" x14ac:dyDescent="0.3">
      <c r="B235" s="33"/>
      <c r="C235" s="34"/>
      <c r="D235" s="35"/>
      <c r="E235" s="36"/>
      <c r="F235" s="36"/>
      <c r="G235" s="37"/>
      <c r="H235" s="10"/>
    </row>
    <row r="236" spans="2:9" x14ac:dyDescent="0.3">
      <c r="B236" s="28">
        <v>10</v>
      </c>
      <c r="C236" s="29" t="s">
        <v>58</v>
      </c>
      <c r="D236" s="30"/>
      <c r="E236" s="31"/>
      <c r="F236" s="31" t="s">
        <v>11</v>
      </c>
      <c r="G236" s="32" t="str">
        <f t="shared" ref="G236:G255" si="29">IF(E236="","",IF(F236="","",ROUND(E236*F236,2)))</f>
        <v/>
      </c>
      <c r="H236" s="46">
        <f>SUM(G239:G256)</f>
        <v>10254.369999999999</v>
      </c>
    </row>
    <row r="237" spans="2:9" x14ac:dyDescent="0.3">
      <c r="B237" s="38" t="s">
        <v>59</v>
      </c>
      <c r="C237" s="39" t="s">
        <v>60</v>
      </c>
      <c r="D237" s="35"/>
      <c r="E237" s="36"/>
      <c r="F237" s="36" t="s">
        <v>11</v>
      </c>
      <c r="G237" s="37" t="str">
        <f t="shared" si="29"/>
        <v/>
      </c>
      <c r="H237" s="10"/>
    </row>
    <row r="238" spans="2:9" x14ac:dyDescent="0.3">
      <c r="B238" s="33" t="s">
        <v>61</v>
      </c>
      <c r="C238" s="34" t="s">
        <v>62</v>
      </c>
      <c r="D238" s="35"/>
      <c r="E238" s="36"/>
      <c r="F238" s="36" t="s">
        <v>11</v>
      </c>
      <c r="G238" s="37" t="str">
        <f t="shared" si="29"/>
        <v/>
      </c>
      <c r="H238" s="10"/>
    </row>
    <row r="239" spans="2:9" ht="55.2" x14ac:dyDescent="0.3">
      <c r="B239" s="33" t="s">
        <v>63</v>
      </c>
      <c r="C239" s="34" t="s">
        <v>86</v>
      </c>
      <c r="D239" s="35" t="s">
        <v>14</v>
      </c>
      <c r="E239" s="36">
        <v>1</v>
      </c>
      <c r="F239" s="36">
        <v>1870</v>
      </c>
      <c r="G239" s="37">
        <f t="shared" si="29"/>
        <v>1870</v>
      </c>
      <c r="H239" s="10">
        <f>F239/2</f>
        <v>935</v>
      </c>
    </row>
    <row r="240" spans="2:9" x14ac:dyDescent="0.3">
      <c r="B240" s="33" t="s">
        <v>64</v>
      </c>
      <c r="C240" s="34" t="s">
        <v>65</v>
      </c>
      <c r="D240" s="35" t="s">
        <v>14</v>
      </c>
      <c r="E240" s="36">
        <v>2</v>
      </c>
      <c r="F240" s="36">
        <v>266.56</v>
      </c>
      <c r="G240" s="37">
        <f t="shared" si="29"/>
        <v>533.12</v>
      </c>
      <c r="H240" s="10"/>
    </row>
    <row r="241" spans="2:9" ht="41.4" x14ac:dyDescent="0.3">
      <c r="B241" s="33" t="s">
        <v>66</v>
      </c>
      <c r="C241" s="34" t="s">
        <v>101</v>
      </c>
      <c r="D241" s="35" t="s">
        <v>14</v>
      </c>
      <c r="E241" s="36">
        <v>72</v>
      </c>
      <c r="F241" s="36">
        <v>42.5</v>
      </c>
      <c r="G241" s="37">
        <f>IF(E241="","",IF(F241="","",ROUND(E241*F241,2)))</f>
        <v>3060</v>
      </c>
      <c r="H241" s="10"/>
    </row>
    <row r="242" spans="2:9" ht="41.4" x14ac:dyDescent="0.3">
      <c r="B242" s="33" t="s">
        <v>67</v>
      </c>
      <c r="C242" s="34" t="s">
        <v>68</v>
      </c>
      <c r="D242" s="35" t="s">
        <v>14</v>
      </c>
      <c r="E242" s="36">
        <v>8</v>
      </c>
      <c r="F242" s="36">
        <v>44.25</v>
      </c>
      <c r="G242" s="37">
        <f>IF(E242="","",IF(F242="","",ROUND(E242*F242,2)))</f>
        <v>354</v>
      </c>
      <c r="H242" s="10"/>
    </row>
    <row r="243" spans="2:9" ht="27.6" x14ac:dyDescent="0.3">
      <c r="B243" s="33" t="s">
        <v>69</v>
      </c>
      <c r="C243" s="34" t="s">
        <v>347</v>
      </c>
      <c r="D243" s="35" t="s">
        <v>14</v>
      </c>
      <c r="E243" s="36">
        <v>2</v>
      </c>
      <c r="F243" s="36">
        <v>78.959999999999994</v>
      </c>
      <c r="G243" s="37">
        <f t="shared" si="29"/>
        <v>157.91999999999999</v>
      </c>
      <c r="H243" s="10"/>
    </row>
    <row r="244" spans="2:9" ht="27.6" x14ac:dyDescent="0.3">
      <c r="B244" s="33" t="s">
        <v>70</v>
      </c>
      <c r="C244" s="34" t="s">
        <v>348</v>
      </c>
      <c r="D244" s="35" t="s">
        <v>14</v>
      </c>
      <c r="E244" s="36">
        <v>2</v>
      </c>
      <c r="F244" s="36">
        <v>114.96</v>
      </c>
      <c r="G244" s="37">
        <f t="shared" si="29"/>
        <v>229.92</v>
      </c>
      <c r="H244" s="10"/>
      <c r="I244" s="11" t="s">
        <v>346</v>
      </c>
    </row>
    <row r="245" spans="2:9" ht="41.4" x14ac:dyDescent="0.3">
      <c r="B245" s="33" t="s">
        <v>71</v>
      </c>
      <c r="C245" s="34" t="s">
        <v>73</v>
      </c>
      <c r="D245" s="35" t="s">
        <v>14</v>
      </c>
      <c r="E245" s="36">
        <v>6</v>
      </c>
      <c r="F245" s="36">
        <v>63</v>
      </c>
      <c r="G245" s="37">
        <f t="shared" si="29"/>
        <v>378</v>
      </c>
      <c r="H245" s="10"/>
    </row>
    <row r="246" spans="2:9" ht="41.4" x14ac:dyDescent="0.3">
      <c r="B246" s="33" t="s">
        <v>72</v>
      </c>
      <c r="C246" s="34" t="s">
        <v>74</v>
      </c>
      <c r="D246" s="35" t="s">
        <v>14</v>
      </c>
      <c r="E246" s="36">
        <v>28</v>
      </c>
      <c r="F246" s="36">
        <v>21.72</v>
      </c>
      <c r="G246" s="37">
        <f t="shared" si="29"/>
        <v>608.16</v>
      </c>
      <c r="H246" s="10"/>
    </row>
    <row r="247" spans="2:9" x14ac:dyDescent="0.3">
      <c r="B247" s="33" t="s">
        <v>75</v>
      </c>
      <c r="C247" s="34" t="s">
        <v>76</v>
      </c>
      <c r="D247" s="35"/>
      <c r="E247" s="36"/>
      <c r="F247" s="36" t="s">
        <v>11</v>
      </c>
      <c r="G247" s="37" t="str">
        <f t="shared" si="29"/>
        <v/>
      </c>
      <c r="H247" s="10"/>
    </row>
    <row r="248" spans="2:9" ht="28.5" customHeight="1" x14ac:dyDescent="0.3">
      <c r="B248" s="33" t="s">
        <v>77</v>
      </c>
      <c r="C248" s="34" t="s">
        <v>102</v>
      </c>
      <c r="D248" s="35"/>
      <c r="E248" s="36"/>
      <c r="F248" s="36" t="s">
        <v>11</v>
      </c>
      <c r="G248" s="37" t="str">
        <f t="shared" si="29"/>
        <v/>
      </c>
      <c r="H248" s="10"/>
    </row>
    <row r="249" spans="2:9" x14ac:dyDescent="0.3">
      <c r="B249" s="33" t="s">
        <v>190</v>
      </c>
      <c r="C249" s="34" t="s">
        <v>78</v>
      </c>
      <c r="D249" s="35" t="s">
        <v>13</v>
      </c>
      <c r="E249" s="36">
        <v>380</v>
      </c>
      <c r="F249" s="36">
        <v>1.85</v>
      </c>
      <c r="G249" s="37">
        <f t="shared" si="29"/>
        <v>703</v>
      </c>
      <c r="H249" s="10"/>
    </row>
    <row r="250" spans="2:9" x14ac:dyDescent="0.3">
      <c r="B250" s="33" t="s">
        <v>79</v>
      </c>
      <c r="C250" s="34" t="s">
        <v>87</v>
      </c>
      <c r="D250" s="35"/>
      <c r="E250" s="36"/>
      <c r="F250" s="36" t="s">
        <v>11</v>
      </c>
      <c r="G250" s="37" t="str">
        <f>IF(E250="","",IF(F250="","",ROUND(E250*F250,2)))</f>
        <v/>
      </c>
      <c r="H250" s="10"/>
    </row>
    <row r="251" spans="2:9" ht="68.25" customHeight="1" x14ac:dyDescent="0.3">
      <c r="B251" s="33" t="s">
        <v>80</v>
      </c>
      <c r="C251" s="34" t="s">
        <v>24</v>
      </c>
      <c r="D251" s="35"/>
      <c r="E251" s="36"/>
      <c r="F251" s="36" t="s">
        <v>11</v>
      </c>
      <c r="G251" s="37" t="str">
        <f t="shared" si="29"/>
        <v/>
      </c>
      <c r="H251" s="10"/>
    </row>
    <row r="252" spans="2:9" ht="27.6" x14ac:dyDescent="0.3">
      <c r="B252" s="33" t="s">
        <v>82</v>
      </c>
      <c r="C252" s="34" t="s">
        <v>399</v>
      </c>
      <c r="D252" s="35" t="s">
        <v>13</v>
      </c>
      <c r="E252" s="36">
        <v>90</v>
      </c>
      <c r="F252" s="36">
        <v>9</v>
      </c>
      <c r="G252" s="37">
        <f t="shared" si="29"/>
        <v>810</v>
      </c>
      <c r="H252" s="10"/>
    </row>
    <row r="253" spans="2:9" x14ac:dyDescent="0.3">
      <c r="B253" s="33" t="s">
        <v>88</v>
      </c>
      <c r="C253" s="34" t="s">
        <v>57</v>
      </c>
      <c r="D253" s="35"/>
      <c r="E253" s="36"/>
      <c r="F253" s="36" t="s">
        <v>11</v>
      </c>
      <c r="G253" s="37" t="str">
        <f t="shared" si="29"/>
        <v/>
      </c>
      <c r="H253" s="10"/>
    </row>
    <row r="254" spans="2:9" ht="41.4" x14ac:dyDescent="0.3">
      <c r="B254" s="33" t="s">
        <v>89</v>
      </c>
      <c r="C254" s="34" t="s">
        <v>81</v>
      </c>
      <c r="D254" s="35"/>
      <c r="E254" s="36"/>
      <c r="F254" s="36" t="s">
        <v>11</v>
      </c>
      <c r="G254" s="37" t="str">
        <f t="shared" si="29"/>
        <v/>
      </c>
      <c r="H254" s="10"/>
    </row>
    <row r="255" spans="2:9" x14ac:dyDescent="0.3">
      <c r="B255" s="33" t="s">
        <v>90</v>
      </c>
      <c r="C255" s="34" t="s">
        <v>83</v>
      </c>
      <c r="D255" s="35" t="s">
        <v>13</v>
      </c>
      <c r="E255" s="36">
        <v>795</v>
      </c>
      <c r="F255" s="36">
        <v>1.95</v>
      </c>
      <c r="G255" s="37">
        <f t="shared" si="29"/>
        <v>1550.25</v>
      </c>
      <c r="H255" s="10"/>
    </row>
    <row r="256" spans="2:9" ht="15" thickBot="1" x14ac:dyDescent="0.35">
      <c r="B256" s="40"/>
      <c r="C256" s="41"/>
      <c r="D256" s="42"/>
      <c r="E256" s="43"/>
      <c r="F256" s="43" t="s">
        <v>11</v>
      </c>
      <c r="G256" s="44" t="str">
        <f>IF(E256="","",IF(F256="","",ROUND(E256*F256,2)))</f>
        <v/>
      </c>
      <c r="H256" s="45"/>
    </row>
    <row r="257" spans="2:8" ht="15" thickBot="1" x14ac:dyDescent="0.35">
      <c r="B257" s="17"/>
      <c r="C257" s="18"/>
      <c r="D257" s="18"/>
      <c r="E257" s="18"/>
      <c r="F257" s="19" t="s">
        <v>100</v>
      </c>
      <c r="G257" s="20">
        <f>SUM(G12:G256)</f>
        <v>274850.65999999997</v>
      </c>
      <c r="H257" s="21"/>
    </row>
  </sheetData>
  <mergeCells count="4">
    <mergeCell ref="E9:G9"/>
    <mergeCell ref="D9:D10"/>
    <mergeCell ref="C9:C10"/>
    <mergeCell ref="B9:B10"/>
  </mergeCells>
  <phoneticPr fontId="1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744be4-98c0-4cc8-8cdc-e6d511b9c7ce">
      <Terms xmlns="http://schemas.microsoft.com/office/infopath/2007/PartnerControls"/>
    </lcf76f155ced4ddcb4097134ff3c332f>
    <TaxCatchAll xmlns="72169b92-dff0-449b-befa-c44ef96a29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6FB125B8E53C4B881ACDD7310999D8" ma:contentTypeVersion="11" ma:contentTypeDescription="Criar um novo documento." ma:contentTypeScope="" ma:versionID="785569bb1f425eea28b352e6f763fc6a">
  <xsd:schema xmlns:xsd="http://www.w3.org/2001/XMLSchema" xmlns:xs="http://www.w3.org/2001/XMLSchema" xmlns:p="http://schemas.microsoft.com/office/2006/metadata/properties" xmlns:ns2="9b744be4-98c0-4cc8-8cdc-e6d511b9c7ce" xmlns:ns3="72169b92-dff0-449b-befa-c44ef96a299b" targetNamespace="http://schemas.microsoft.com/office/2006/metadata/properties" ma:root="true" ma:fieldsID="b7d5da3c0c9a00bd7717bf66e7b79d6f" ns2:_="" ns3:_="">
    <xsd:import namespace="9b744be4-98c0-4cc8-8cdc-e6d511b9c7ce"/>
    <xsd:import namespace="72169b92-dff0-449b-befa-c44ef96a29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44be4-98c0-4cc8-8cdc-e6d511b9c7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f449cc-063f-4890-80cb-d4bc6853fd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69b92-dff0-449b-befa-c44ef96a29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796a4c-bd6c-40db-a488-b7fb096bc386}" ma:internalName="TaxCatchAll" ma:showField="CatchAllData" ma:web="72169b92-dff0-449b-befa-c44ef96a29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5482A2-3EE8-4CEC-B2AC-C1EA7AD8E0F9}">
  <ds:schemaRefs>
    <ds:schemaRef ds:uri="http://schemas.microsoft.com/office/2006/metadata/properties"/>
    <ds:schemaRef ds:uri="http://schemas.microsoft.com/office/infopath/2007/PartnerControls"/>
    <ds:schemaRef ds:uri="48bc8c31-ae01-4c62-b151-082ea8456e58"/>
    <ds:schemaRef ds:uri="120b3b3b-19ee-43b4-81bf-94375ced06ea"/>
    <ds:schemaRef ds:uri="9d204e6c-754f-453b-9073-123bd3f16a11"/>
    <ds:schemaRef ds:uri="d9f814ab-c613-46b5-8e76-afecae1eb612"/>
    <ds:schemaRef ds:uri="9b744be4-98c0-4cc8-8cdc-e6d511b9c7ce"/>
    <ds:schemaRef ds:uri="72169b92-dff0-449b-befa-c44ef96a299b"/>
  </ds:schemaRefs>
</ds:datastoreItem>
</file>

<file path=customXml/itemProps2.xml><?xml version="1.0" encoding="utf-8"?>
<ds:datastoreItem xmlns:ds="http://schemas.openxmlformats.org/officeDocument/2006/customXml" ds:itemID="{F4B6B489-DBED-4D43-89ED-1D2383F1E0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8C223C-F116-4AD3-A500-83EA2BD03A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44be4-98c0-4cc8-8cdc-e6d511b9c7ce"/>
    <ds:schemaRef ds:uri="72169b92-dff0-449b-befa-c44ef96a29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LPU</vt:lpstr>
      <vt:lpstr>LPU!Área_de_Impressão</vt:lpstr>
      <vt:lpstr>LPU!Títulos_de_Impressão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Márcia Afonso</dc:creator>
  <cp:lastModifiedBy>Emanuel Silva</cp:lastModifiedBy>
  <cp:lastPrinted>2025-04-29T15:39:57Z</cp:lastPrinted>
  <dcterms:created xsi:type="dcterms:W3CDTF">2025-02-27T15:10:00Z</dcterms:created>
  <dcterms:modified xsi:type="dcterms:W3CDTF">2026-08-10T07:43:17Z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0x0101007C6FB125B8E53C4B881ACDD7310999D8</vt:lpwstr>
  </property>
</Properties>
</file>